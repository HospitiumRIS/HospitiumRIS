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nt Database" sheetId="1" state="visible" r:id="rId3"/>
    <sheet name="Summary Dashboard" sheetId="2" state="visible" r:id="rId4"/>
    <sheet name="Kenya Focus" sheetId="3" state="visible" r:id="rId5"/>
  </sheets>
  <definedNames>
    <definedName function="false" hidden="true" localSheetId="0" name="_xlnm._FilterDatabase" vbProcedure="false">'Grant Database'!$A$1:$S$51</definedName>
    <definedName function="false" hidden="true" localSheetId="2" name="_xlnm._FilterDatabase" vbProcedure="false">'Kenya Focus'!$A$2:$F$52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<sst xmlns="http://schemas.openxmlformats.org/spreadsheetml/2006/main" count="1116" uniqueCount="585">
  <si>
    <t xml:space="preserve">ID</t>
  </si>
  <si>
    <t xml:space="preserve">Grant Title</t>
  </si>
  <si>
    <t xml:space="preserve">Funding Organization</t>
  </si>
  <si>
    <t xml:space="preserve">Grant Category</t>
  </si>
  <si>
    <t xml:space="preserve">Award Amount (USD)</t>
  </si>
  <si>
    <t xml:space="preserve">Eligibility Criteria</t>
  </si>
  <si>
    <t xml:space="preserve">Target Applicant Groups</t>
  </si>
  <si>
    <t xml:space="preserve">Purpose / Description</t>
  </si>
  <si>
    <t xml:space="preserve">Research Focus Area</t>
  </si>
  <si>
    <t xml:space="preserve">Geographic Scope</t>
  </si>
  <si>
    <t xml:space="preserve">Application Open Date</t>
  </si>
  <si>
    <t xml:space="preserve">Application Deadline</t>
  </si>
  <si>
    <t xml:space="preserve">Award Announcement</t>
  </si>
  <si>
    <t xml:space="preserve">Project Start Date</t>
  </si>
  <si>
    <t xml:space="preserve">Project End Date</t>
  </si>
  <si>
    <t xml:space="preserve">Duration (Months)</t>
  </si>
  <si>
    <t xml:space="preserve">Status</t>
  </si>
  <si>
    <t xml:space="preserve">Application URL / Contact</t>
  </si>
  <si>
    <t xml:space="preserve">Notes</t>
  </si>
  <si>
    <t xml:space="preserve">Kenya Medical Research Institute (KEMRI) Research Grant</t>
  </si>
  <si>
    <t xml:space="preserve">Kenya Medical Research Institute</t>
  </si>
  <si>
    <t xml:space="preserve">National Research Institute</t>
  </si>
  <si>
    <t xml:space="preserve">Kenyan citizens or residents; PhD/MD or equivalent; KEMRI-affiliated researchers preferred</t>
  </si>
  <si>
    <t xml:space="preserve">Kenyan researchers; KEMRI scientists; Medical professionals; Public health practitioners</t>
  </si>
  <si>
    <t xml:space="preserve">Supports biomedical and public health research to improve health outcomes for Kenyan populations.</t>
  </si>
  <si>
    <t xml:space="preserve">Biomedical &amp; Public Health Research</t>
  </si>
  <si>
    <t xml:space="preserve">Kenya</t>
  </si>
  <si>
    <t xml:space="preserve">2024-01-15</t>
  </si>
  <si>
    <t xml:space="preserve">2024-03-31</t>
  </si>
  <si>
    <t xml:space="preserve">2024-06-01</t>
  </si>
  <si>
    <t xml:space="preserve">2024-09-01</t>
  </si>
  <si>
    <t xml:space="preserve">2026-08-31</t>
  </si>
  <si>
    <t xml:space="preserve">Open</t>
  </si>
  <si>
    <t xml:space="preserve">https://www.kemri.go.ke/</t>
  </si>
  <si>
    <t xml:space="preserve">Core national research funding for Kenya</t>
  </si>
  <si>
    <t xml:space="preserve">Kenya National Research Fund (NRF) Health Grant</t>
  </si>
  <si>
    <t xml:space="preserve">Kenya National Research Fund</t>
  </si>
  <si>
    <t xml:space="preserve">National Government</t>
  </si>
  <si>
    <t xml:space="preserve">Kenyan citizens; registered Kenyan institution; PhD or MSc + 3 yrs experience</t>
  </si>
  <si>
    <t xml:space="preserve">Kenyan researchers; University faculty; Health professionals; Research institutions</t>
  </si>
  <si>
    <t xml:space="preserve">Funds health and medical research aligned with Kenya's national development priorities and Vision 2030.</t>
  </si>
  <si>
    <t xml:space="preserve">National Health Research Priorities</t>
  </si>
  <si>
    <t xml:space="preserve">2024-02-01</t>
  </si>
  <si>
    <t xml:space="preserve">2024-04-30</t>
  </si>
  <si>
    <t xml:space="preserve">2024-07-15</t>
  </si>
  <si>
    <t xml:space="preserve">2024-10-01</t>
  </si>
  <si>
    <t xml:space="preserve">2026-09-30</t>
  </si>
  <si>
    <t xml:space="preserve">https://www.nrf.go.ke/</t>
  </si>
  <si>
    <t xml:space="preserve">Competitive; aligned to Big Four agenda</t>
  </si>
  <si>
    <t xml:space="preserve">AMREF Health Africa Research Grant</t>
  </si>
  <si>
    <t xml:space="preserve">AMREF Health Africa</t>
  </si>
  <si>
    <t xml:space="preserve">African NGO</t>
  </si>
  <si>
    <t xml:space="preserve">African health researchers; AMREF country office affiliation helpful; community focus required</t>
  </si>
  <si>
    <t xml:space="preserve">Community health researchers; Public health practitioners; African scientists; Health NGOs</t>
  </si>
  <si>
    <t xml:space="preserve">Supports applied health research to strengthen health systems and improve community health in Africa.</t>
  </si>
  <si>
    <t xml:space="preserve">Community &amp; Primary Health Care</t>
  </si>
  <si>
    <t xml:space="preserve">Africa (HQ Nairobi, Kenya)</t>
  </si>
  <si>
    <t xml:space="preserve">2024-03-01</t>
  </si>
  <si>
    <t xml:space="preserve">2024-05-31</t>
  </si>
  <si>
    <t xml:space="preserve">2024-08-15</t>
  </si>
  <si>
    <t xml:space="preserve">2024-11-01</t>
  </si>
  <si>
    <t xml:space="preserve">2026-10-31</t>
  </si>
  <si>
    <t xml:space="preserve">https://amref.org/</t>
  </si>
  <si>
    <t xml:space="preserve">Africa-rooted; headquartered in Nairobi</t>
  </si>
  <si>
    <t xml:space="preserve">Aga Khan University Research Grant (Kenya)</t>
  </si>
  <si>
    <t xml:space="preserve">Aga Khan University</t>
  </si>
  <si>
    <t xml:space="preserve">Academic Institution</t>
  </si>
  <si>
    <t xml:space="preserve">AKU faculty or affiliated researchers; East Africa focus; multidisciplinary teams welcome</t>
  </si>
  <si>
    <t xml:space="preserve">AKU faculty; East African researchers; Clinical scientists; Health system researchers</t>
  </si>
  <si>
    <t xml:space="preserve">Funds research to address health challenges in East Africa with a focus on practical, implementable solutions.</t>
  </si>
  <si>
    <t xml:space="preserve">East Africa Health Systems Research</t>
  </si>
  <si>
    <t xml:space="preserve">Kenya, East Africa</t>
  </si>
  <si>
    <t xml:space="preserve">2024-04-01</t>
  </si>
  <si>
    <t xml:space="preserve">2024-06-30</t>
  </si>
  <si>
    <t xml:space="preserve">https://www.aku.edu/research/</t>
  </si>
  <si>
    <t xml:space="preserve">Strong clinical &amp; implementation focus</t>
  </si>
  <si>
    <t xml:space="preserve">University of Nairobi Research Innovation Fund</t>
  </si>
  <si>
    <t xml:space="preserve">University of Nairobi</t>
  </si>
  <si>
    <t xml:space="preserve">UoN faculty or postgraduate students; registered UoN department; health/science focus</t>
  </si>
  <si>
    <t xml:space="preserve">UoN researchers; Postgraduate students; Medical school faculty; Health science departments</t>
  </si>
  <si>
    <t xml:space="preserve">Promotes research innovation and capacity building within the University of Nairobi's health sciences.</t>
  </si>
  <si>
    <t xml:space="preserve">Academic Health Research Innovation</t>
  </si>
  <si>
    <t xml:space="preserve">2024-01-10</t>
  </si>
  <si>
    <t xml:space="preserve">2024-03-15</t>
  </si>
  <si>
    <t xml:space="preserve">2024-05-01</t>
  </si>
  <si>
    <t xml:space="preserve">2024-07-01</t>
  </si>
  <si>
    <t xml:space="preserve">2025-06-30</t>
  </si>
  <si>
    <t xml:space="preserve">https://www.uonbi.ac.ke/research/</t>
  </si>
  <si>
    <t xml:space="preserve">Seed funding for innovation projects</t>
  </si>
  <si>
    <t xml:space="preserve">Kenyatta National Hospital Research Grant</t>
  </si>
  <si>
    <t xml:space="preserve">Kenyatta National Hospital</t>
  </si>
  <si>
    <t xml:space="preserve">National Hospital</t>
  </si>
  <si>
    <t xml:space="preserve">KNH staff or affiliated researchers; clinical research focus; IRB approval required</t>
  </si>
  <si>
    <t xml:space="preserve">KNH clinicians; Medical officers; Clinical researchers; Nursing researchers</t>
  </si>
  <si>
    <t xml:space="preserve">Supports clinical research to improve patient care and health outcomes at Kenya's national referral hospital.</t>
  </si>
  <si>
    <t xml:space="preserve">Clinical &amp; Hospital-Based Research</t>
  </si>
  <si>
    <t xml:space="preserve">2024-04-15</t>
  </si>
  <si>
    <t xml:space="preserve">2024-08-01</t>
  </si>
  <si>
    <t xml:space="preserve">2026-07-31</t>
  </si>
  <si>
    <t xml:space="preserve">https://www.knh.or.ke/</t>
  </si>
  <si>
    <t xml:space="preserve">Priority to clinical quality improvement</t>
  </si>
  <si>
    <t xml:space="preserve">Kenya AIDS Research &amp; Control Program Grant</t>
  </si>
  <si>
    <t xml:space="preserve">National AIDS &amp; STI Control Programme (NASCOP)</t>
  </si>
  <si>
    <t xml:space="preserve">Kenya-based researchers; HIV/AIDS focus; collaboration with public health facilities preferred</t>
  </si>
  <si>
    <t xml:space="preserve">Infectious disease researchers; Public health officials; Epidemiologists; HIV clinicians</t>
  </si>
  <si>
    <t xml:space="preserve">Funds research to improve HIV prevention, treatment adherence, and care in Kenya.</t>
  </si>
  <si>
    <t xml:space="preserve">HIV/AIDS &amp; Infectious Disease</t>
  </si>
  <si>
    <t xml:space="preserve">2024-07-31</t>
  </si>
  <si>
    <t xml:space="preserve">2025-01-01</t>
  </si>
  <si>
    <t xml:space="preserve">2027-12-31</t>
  </si>
  <si>
    <t xml:space="preserve">Upcoming</t>
  </si>
  <si>
    <t xml:space="preserve">https://www.nacopkenya.go.ke/</t>
  </si>
  <si>
    <t xml:space="preserve">Policy-linked HIV research</t>
  </si>
  <si>
    <t xml:space="preserve">Kenya Paediatric Research Consortium Grant</t>
  </si>
  <si>
    <t xml:space="preserve">Kenya Paediatric Association</t>
  </si>
  <si>
    <t xml:space="preserve">Professional Association</t>
  </si>
  <si>
    <t xml:space="preserve">Kenya-based paediatricians or child health researchers; KPA membership an advantage</t>
  </si>
  <si>
    <t xml:space="preserve">Paediatricians; Child health researchers; Neonatologists; Paediatric nurses</t>
  </si>
  <si>
    <t xml:space="preserve">Supports research to improve child health outcomes in Kenya including neonatal and adolescent health.</t>
  </si>
  <si>
    <t xml:space="preserve">Paediatric &amp; Child Health</t>
  </si>
  <si>
    <t xml:space="preserve">2025-08-31</t>
  </si>
  <si>
    <t xml:space="preserve">Closed</t>
  </si>
  <si>
    <t xml:space="preserve">https://www.kenyapaediatrics.org/</t>
  </si>
  <si>
    <t xml:space="preserve">Small grants; clinical focus</t>
  </si>
  <si>
    <t xml:space="preserve">East African Community Health Research Fund</t>
  </si>
  <si>
    <t xml:space="preserve">East African Community (EAC)</t>
  </si>
  <si>
    <t xml:space="preserve">Regional Government Body</t>
  </si>
  <si>
    <t xml:space="preserve">EAC partner state institution (Kenya, Uganda, Tanzania, Rwanda, Burundi, DRC, Somalia); health focus</t>
  </si>
  <si>
    <t xml:space="preserve">East African researchers; Cross-border health teams; Regional health ministries; Academic institutions</t>
  </si>
  <si>
    <t xml:space="preserve">Funds transboundary health research to address shared disease burdens across East African partner states.</t>
  </si>
  <si>
    <t xml:space="preserve">Regional Health &amp; Disease Burden</t>
  </si>
  <si>
    <t xml:space="preserve">East Africa (EAC)</t>
  </si>
  <si>
    <t xml:space="preserve">https://www.eac.int/health</t>
  </si>
  <si>
    <t xml:space="preserve">Multi-country collaboration required</t>
  </si>
  <si>
    <t xml:space="preserve">Makerere University - University of Nairobi Joint Research Program</t>
  </si>
  <si>
    <t xml:space="preserve">Makerere University / UoN</t>
  </si>
  <si>
    <t xml:space="preserve">Academic Consortium</t>
  </si>
  <si>
    <t xml:space="preserve">Joint team from Makerere (Uganda) and UoN (Kenya); graduate-level researchers; health-related</t>
  </si>
  <si>
    <t xml:space="preserve">Ugandan &amp; Kenyan researchers; Joint research teams; Postdoctoral fellows; Faculty members</t>
  </si>
  <si>
    <t xml:space="preserve">Promotes academic research collaboration between East Africa's leading universities on shared health challenges.</t>
  </si>
  <si>
    <t xml:space="preserve">Academic Research Collaboration</t>
  </si>
  <si>
    <t xml:space="preserve">Uganda, Kenya</t>
  </si>
  <si>
    <t xml:space="preserve">2024-08-31</t>
  </si>
  <si>
    <t xml:space="preserve">2025-02-01</t>
  </si>
  <si>
    <t xml:space="preserve">2027-01-31</t>
  </si>
  <si>
    <t xml:space="preserve">https://www.mak.ac.ug/research</t>
  </si>
  <si>
    <t xml:space="preserve">Partnership grants only</t>
  </si>
  <si>
    <t xml:space="preserve">African Academy of Sciences (AAS) Grand Challenges Africa</t>
  </si>
  <si>
    <t xml:space="preserve">African Academy of Sciences</t>
  </si>
  <si>
    <t xml:space="preserve">Pan-African</t>
  </si>
  <si>
    <t xml:space="preserve">Sub-Saharan African institution; African principal investigator; health innovation focus</t>
  </si>
  <si>
    <t xml:space="preserve">African scientists; Public health researchers; Biomedical innovators; Multi-disciplinary teams</t>
  </si>
  <si>
    <t xml:space="preserve">Supports African-led research and innovation to address the continent's most pressing health challenges.</t>
  </si>
  <si>
    <t xml:space="preserve">Grand Challenges in African Health</t>
  </si>
  <si>
    <t xml:space="preserve">Sub-Saharan Africa</t>
  </si>
  <si>
    <t xml:space="preserve">https://www.aasciences.africa/</t>
  </si>
  <si>
    <t xml:space="preserve">Flagship AAS funding mechanism</t>
  </si>
  <si>
    <t xml:space="preserve">Alliance for Accelerating Excellence in Science in Africa (AESA)</t>
  </si>
  <si>
    <t xml:space="preserve">AESA / AAS / Wellcome / Gates</t>
  </si>
  <si>
    <t xml:space="preserve">Pan-African Partnership</t>
  </si>
  <si>
    <t xml:space="preserve">African institution; African PI required; collaborative research encouraged; capacity building component</t>
  </si>
  <si>
    <t xml:space="preserve">African research leaders; Emerging scientists; Health research institutions; Universities</t>
  </si>
  <si>
    <t xml:space="preserve">Strengthens African research leadership and funds high-impact science to address African health challenges.</t>
  </si>
  <si>
    <t xml:space="preserve">Health Research Excellence &amp; Capacity</t>
  </si>
  <si>
    <t xml:space="preserve">Africa-wide</t>
  </si>
  <si>
    <t xml:space="preserve">2024-09-15</t>
  </si>
  <si>
    <t xml:space="preserve">2028-12-31</t>
  </si>
  <si>
    <t xml:space="preserve">https://aesa.aasciences.africa/</t>
  </si>
  <si>
    <t xml:space="preserve">Major platform for African-led research</t>
  </si>
  <si>
    <t xml:space="preserve">Africa Research Excellence Fund (AREF) Fellowship</t>
  </si>
  <si>
    <t xml:space="preserve">Africa Research Excellence Fund</t>
  </si>
  <si>
    <t xml:space="preserve">UK-African Partnership</t>
  </si>
  <si>
    <t xml:space="preserve">African researchers; within 10 years of first independent position; African institution affiliation</t>
  </si>
  <si>
    <t xml:space="preserve">Early-to-mid career African researchers; Biomedical scientists; Public health professionals</t>
  </si>
  <si>
    <t xml:space="preserve">Builds world-class research capability in Africa by supporting exceptional African scientists.</t>
  </si>
  <si>
    <t xml:space="preserve">Research Capacity Building</t>
  </si>
  <si>
    <t xml:space="preserve">Africa</t>
  </si>
  <si>
    <t xml:space="preserve">2024-01-20</t>
  </si>
  <si>
    <t xml:space="preserve">2024-04-20</t>
  </si>
  <si>
    <t xml:space="preserve">2027-09-30</t>
  </si>
  <si>
    <t xml:space="preserve">https://www.aref.org.uk/</t>
  </si>
  <si>
    <t xml:space="preserve">Fellowship + mentorship + networking</t>
  </si>
  <si>
    <t xml:space="preserve">H3Africa (Human Heredity &amp; Health in Africa) Research Grant</t>
  </si>
  <si>
    <t xml:space="preserve">NIH / Wellcome Trust</t>
  </si>
  <si>
    <t xml:space="preserve">International Government</t>
  </si>
  <si>
    <t xml:space="preserve">African institution as lead; African PI required; genomics or precision medicine focus</t>
  </si>
  <si>
    <t xml:space="preserve">African genomic researchers; Population geneticists; Biobank scientists; Multi-site African teams</t>
  </si>
  <si>
    <t xml:space="preserve">Enables genomic and epidemiological research to understand diseases in African populations.</t>
  </si>
  <si>
    <t xml:space="preserve">Genomics &amp; Precision Medicine in Africa</t>
  </si>
  <si>
    <t xml:space="preserve">2024-01-08</t>
  </si>
  <si>
    <t xml:space="preserve">2024-04-08</t>
  </si>
  <si>
    <t xml:space="preserve">2030-12-31</t>
  </si>
  <si>
    <t xml:space="preserve">https://h3africa.org/</t>
  </si>
  <si>
    <t xml:space="preserve">Continental genomics biobank network</t>
  </si>
  <si>
    <t xml:space="preserve">Developing Excellence in Leadership, Training &amp; Science (DELTAS) Africa</t>
  </si>
  <si>
    <t xml:space="preserve">AESA / Wellcome / Gates</t>
  </si>
  <si>
    <t xml:space="preserve">African research institution consortium; structured training programme; 5+ year commitment</t>
  </si>
  <si>
    <t xml:space="preserve">Research consortia; Graduate training programs; African universities; Research centres</t>
  </si>
  <si>
    <t xml:space="preserve">Develops the next generation of African health researchers through consortium-based training programmes.</t>
  </si>
  <si>
    <t xml:space="preserve">Research Training &amp; Leadership</t>
  </si>
  <si>
    <t xml:space="preserve">2025-01-15</t>
  </si>
  <si>
    <t xml:space="preserve">2025-09-01</t>
  </si>
  <si>
    <t xml:space="preserve">2030-08-31</t>
  </si>
  <si>
    <t xml:space="preserve">https://deltas.aasciences.africa/</t>
  </si>
  <si>
    <t xml:space="preserve">Large consortium programme grants</t>
  </si>
  <si>
    <t xml:space="preserve">Wellcome Trust African Institutions Initiative</t>
  </si>
  <si>
    <t xml:space="preserve">Wellcome Trust</t>
  </si>
  <si>
    <t xml:space="preserve">International Foundation</t>
  </si>
  <si>
    <t xml:space="preserve">African institution as host; strong institutional research environment; collaborative teams</t>
  </si>
  <si>
    <t xml:space="preserve">African research institutions; University departments; Multi-disciplinary research centres</t>
  </si>
  <si>
    <t xml:space="preserve">Strengthens African research institutions through funding that builds sustainable research environments.</t>
  </si>
  <si>
    <t xml:space="preserve">Institutional Research Strengthening</t>
  </si>
  <si>
    <t xml:space="preserve">2024-02-15</t>
  </si>
  <si>
    <t xml:space="preserve">2024-05-15</t>
  </si>
  <si>
    <t xml:space="preserve">https://wellcome.org/grant-funding/schemes/african-institutions</t>
  </si>
  <si>
    <t xml:space="preserve">Institutional capacity focus</t>
  </si>
  <si>
    <t xml:space="preserve">Fogarty International Center – African Research Partnership</t>
  </si>
  <si>
    <t xml:space="preserve">Fogarty International Center / NIH</t>
  </si>
  <si>
    <t xml:space="preserve">US Federal</t>
  </si>
  <si>
    <t xml:space="preserve">African institution + US institution partnership required; LMIC-led research; health focus</t>
  </si>
  <si>
    <t xml:space="preserve">African researchers with US partners; Joint research teams; Public health scientists</t>
  </si>
  <si>
    <t xml:space="preserve">Builds research partnerships between African and US institutions to address global health priorities.</t>
  </si>
  <si>
    <t xml:space="preserve">Global Health Research Partnership</t>
  </si>
  <si>
    <t xml:space="preserve">Africa, United States</t>
  </si>
  <si>
    <t xml:space="preserve">2024-02-08</t>
  </si>
  <si>
    <t xml:space="preserve">2024-05-08</t>
  </si>
  <si>
    <t xml:space="preserve">https://www.fic.nih.gov/</t>
  </si>
  <si>
    <t xml:space="preserve">African co-PI encouraged/required</t>
  </si>
  <si>
    <t xml:space="preserve">EDCTP (European &amp; Developing Countries Clinical Trials Partnership)</t>
  </si>
  <si>
    <t xml:space="preserve">EDCTP</t>
  </si>
  <si>
    <t xml:space="preserve">EU-Africa Partnership</t>
  </si>
  <si>
    <t xml:space="preserve">African institution as leading partner; clinical trials focus; poverty-related diseases (HIV, TB, Malaria)</t>
  </si>
  <si>
    <t xml:space="preserve">Clinical trial researchers; Infectious disease specialists; African CROs; Academic medical centres</t>
  </si>
  <si>
    <t xml:space="preserve">Funds clinical research on poverty-related infectious diseases in sub-Saharan Africa.</t>
  </si>
  <si>
    <t xml:space="preserve">Infectious Disease Clinical Trials</t>
  </si>
  <si>
    <t xml:space="preserve">Sub-Saharan Africa + EU</t>
  </si>
  <si>
    <t xml:space="preserve">2025-06-01</t>
  </si>
  <si>
    <t xml:space="preserve">2029-05-31</t>
  </si>
  <si>
    <t xml:space="preserve">https://www.edctp.org/</t>
  </si>
  <si>
    <t xml:space="preserve">HIV, TB, Malaria, NTDs priority</t>
  </si>
  <si>
    <t xml:space="preserve">African Population &amp; Health Research Center (APHRC) Grant</t>
  </si>
  <si>
    <t xml:space="preserve">APHRC</t>
  </si>
  <si>
    <t xml:space="preserve">Pan-African Research Center</t>
  </si>
  <si>
    <t xml:space="preserve">African researchers; population health focus; APHRC partnership encouraged; policy-relevant research</t>
  </si>
  <si>
    <t xml:space="preserve">Demographers; Population health researchers; Urban health specialists; African policy researchers</t>
  </si>
  <si>
    <t xml:space="preserve">Advances research on population, health, and development to inform policy in Africa.</t>
  </si>
  <si>
    <t xml:space="preserve">Population Health &amp; Development</t>
  </si>
  <si>
    <t xml:space="preserve">Africa (HQ Nairobi)</t>
  </si>
  <si>
    <t xml:space="preserve">2024-12-01</t>
  </si>
  <si>
    <t xml:space="preserve">2027-11-30</t>
  </si>
  <si>
    <t xml:space="preserve">https://aphrc.org/</t>
  </si>
  <si>
    <t xml:space="preserve">HQ in Nairobi; Africa-wide research</t>
  </si>
  <si>
    <t xml:space="preserve">USAID Global Health Innovation Fund – Africa</t>
  </si>
  <si>
    <t xml:space="preserve">U.S. Agency for International Development</t>
  </si>
  <si>
    <t xml:space="preserve">US Government</t>
  </si>
  <si>
    <t xml:space="preserve">African institution or US-African partnership; health system strengthening or innovation; USAID mission alignment</t>
  </si>
  <si>
    <t xml:space="preserve">African health innovators; NGOs; Academic institutions; Social enterprises; Health tech companies</t>
  </si>
  <si>
    <t xml:space="preserve">Funds innovative solutions to health challenges in Africa aligned with USAID's health priorities.</t>
  </si>
  <si>
    <t xml:space="preserve">Health System Innovation &amp; Strengthening</t>
  </si>
  <si>
    <t xml:space="preserve">2024-11-15</t>
  </si>
  <si>
    <t xml:space="preserve">2025-03-01</t>
  </si>
  <si>
    <t xml:space="preserve">2028-02-28</t>
  </si>
  <si>
    <t xml:space="preserve">https://www.usaid.gov/global-health</t>
  </si>
  <si>
    <t xml:space="preserve">Requires USAID mission country alignment</t>
  </si>
  <si>
    <t xml:space="preserve">Gates Foundation Grand Challenges – Africa Edition</t>
  </si>
  <si>
    <t xml:space="preserve">Bill &amp; Melinda Gates Foundation</t>
  </si>
  <si>
    <t xml:space="preserve">Private Foundation</t>
  </si>
  <si>
    <t xml:space="preserve">Global eligibility; strong preference for African-led teams; LMIC health focus; bold innovation required</t>
  </si>
  <si>
    <t xml:space="preserve">African researchers; Global health innovators; NGOs; Social entrepreneurs; Universities</t>
  </si>
  <si>
    <t xml:space="preserve">Funds bold, innovative ideas to solve critical health and development challenges in Africa and LMICs.</t>
  </si>
  <si>
    <t xml:space="preserve">Global Health Innovation (Africa Focus)</t>
  </si>
  <si>
    <t xml:space="preserve">Global, Africa priority</t>
  </si>
  <si>
    <t xml:space="preserve">2024-10-15</t>
  </si>
  <si>
    <t xml:space="preserve">https://gcgh.grandchallenges.org/</t>
  </si>
  <si>
    <t xml:space="preserve">Phase 1: $100K; Phase 2: up to $1M</t>
  </si>
  <si>
    <t xml:space="preserve">Wellcome Trust International Intermediate Fellowship</t>
  </si>
  <si>
    <t xml:space="preserve">Within 5 years of first independent position; global eligible; strong African track record encouraged</t>
  </si>
  <si>
    <t xml:space="preserve">Mid-career researchers in LMICs; African scientists; Global health researchers</t>
  </si>
  <si>
    <t xml:space="preserve">Supports researchers in LMICs to make the transition to leading independent research groups.</t>
  </si>
  <si>
    <t xml:space="preserve">Research Career Development (LMIC)</t>
  </si>
  <si>
    <t xml:space="preserve">Global, Africa</t>
  </si>
  <si>
    <t xml:space="preserve">2030-10-31</t>
  </si>
  <si>
    <t xml:space="preserve">https://wellcome.org/grant-funding/schemes/intermediate-fellowships</t>
  </si>
  <si>
    <t xml:space="preserve">Up to £400K; career-transitional</t>
  </si>
  <si>
    <t xml:space="preserve">WHO-TDR Research Capacity Strengthening Grant</t>
  </si>
  <si>
    <t xml:space="preserve">WHO Special Programme for Research (TDR)</t>
  </si>
  <si>
    <t xml:space="preserve">UN/WHO</t>
  </si>
  <si>
    <t xml:space="preserve">LMIC institution; tropical disease or NTD focus; early-career researcher component required</t>
  </si>
  <si>
    <t xml:space="preserve">Tropical disease researchers; Public health professionals; LMIC scientists; Capacity builders</t>
  </si>
  <si>
    <t xml:space="preserve">Strengthens research capacity in disease-endemic countries to address neglected tropical diseases.</t>
  </si>
  <si>
    <t xml:space="preserve">Neglected Tropical Diseases</t>
  </si>
  <si>
    <t xml:space="preserve">LMICs, Africa priority</t>
  </si>
  <si>
    <t xml:space="preserve">2027-10-31</t>
  </si>
  <si>
    <t xml:space="preserve">https://www.who.int/tdr/</t>
  </si>
  <si>
    <t xml:space="preserve">WHO partnership required</t>
  </si>
  <si>
    <t xml:space="preserve">NIH Fogarty Global Health Equity Scholar Award</t>
  </si>
  <si>
    <t xml:space="preserve">US graduate students or postdocs; mentor at African/LMIC institution required; global health focus</t>
  </si>
  <si>
    <t xml:space="preserve">US trainees working in Africa; Global health scholars; International research trainees</t>
  </si>
  <si>
    <t xml:space="preserve">Supports US researchers gaining experience in LMIC settings to build global health research capacity.</t>
  </si>
  <si>
    <t xml:space="preserve">Global Health Research Training</t>
  </si>
  <si>
    <t xml:space="preserve">https://www.fic.nih.gov/Programs/Pages/scholars-fellows-global.aspx</t>
  </si>
  <si>
    <t xml:space="preserve">Promotes North-South collaboration</t>
  </si>
  <si>
    <t xml:space="preserve">Global Fund Research &amp; Evidence Grant</t>
  </si>
  <si>
    <t xml:space="preserve">The Global Fund</t>
  </si>
  <si>
    <t xml:space="preserve">International</t>
  </si>
  <si>
    <t xml:space="preserve">Global eligibility; HIV, TB, or Malaria focus; multi-country implementation preferred; Africa priority</t>
  </si>
  <si>
    <t xml:space="preserve">Public health researchers; Epidemiologists; Implementation scientists; African health ministries</t>
  </si>
  <si>
    <t xml:space="preserve">Funds research and evidence generation to improve HIV, TB, and Malaria programme effectiveness globally.</t>
  </si>
  <si>
    <t xml:space="preserve">HIV, TB &amp; Malaria Research</t>
  </si>
  <si>
    <t xml:space="preserve">Global, Africa &amp; Asia focus</t>
  </si>
  <si>
    <t xml:space="preserve">2024-09-30</t>
  </si>
  <si>
    <t xml:space="preserve">2025-07-01</t>
  </si>
  <si>
    <t xml:space="preserve">2029-06-30</t>
  </si>
  <si>
    <t xml:space="preserve">https://www.theglobalfund.org/en/funding-model/</t>
  </si>
  <si>
    <t xml:space="preserve">Largest global disease fund</t>
  </si>
  <si>
    <t xml:space="preserve">UNITAID Health Innovation Grant</t>
  </si>
  <si>
    <t xml:space="preserve">UNITAID</t>
  </si>
  <si>
    <t xml:space="preserve">Global eligibility; market-shaping health innovation; HIV, TB, Malaria, or hepatitis C focus</t>
  </si>
  <si>
    <t xml:space="preserve">Health innovators; Pharmaceutical companies; Research organisations; African health institutions</t>
  </si>
  <si>
    <t xml:space="preserve">Funds innovations that improve access to health products for HIV, TB, and Malaria in LMICs.</t>
  </si>
  <si>
    <t xml:space="preserve">Health Product Access &amp; Innovation</t>
  </si>
  <si>
    <t xml:space="preserve">Global (LMIC focus)</t>
  </si>
  <si>
    <t xml:space="preserve">2025-04-01</t>
  </si>
  <si>
    <t xml:space="preserve">2028-03-31</t>
  </si>
  <si>
    <t xml:space="preserve">https://unitaid.org/</t>
  </si>
  <si>
    <t xml:space="preserve">Market-shaping approach to access</t>
  </si>
  <si>
    <t xml:space="preserve">Médecins Sans Frontières (MSF) Research Fund</t>
  </si>
  <si>
    <t xml:space="preserve">Médecins Sans Frontières</t>
  </si>
  <si>
    <t xml:space="preserve">International NGO</t>
  </si>
  <si>
    <t xml:space="preserve">MSF operational context; humanitarian/conflict settings; field-applicable research; LMIC focus</t>
  </si>
  <si>
    <t xml:space="preserve">Field researchers; MSF medical staff; Humanitarian health researchers; Operational researchers</t>
  </si>
  <si>
    <t xml:space="preserve">Supports research in humanitarian crisis and conflict settings to improve medical care for vulnerable populations.</t>
  </si>
  <si>
    <t xml:space="preserve">Humanitarian &amp; Conflict Health Research</t>
  </si>
  <si>
    <t xml:space="preserve">Global, Africa, Conflict Zones</t>
  </si>
  <si>
    <t xml:space="preserve">2024-01-01</t>
  </si>
  <si>
    <t xml:space="preserve">2024-06-15</t>
  </si>
  <si>
    <t xml:space="preserve">https://www.msf.org/research</t>
  </si>
  <si>
    <t xml:space="preserve">Operational research in MSF contexts</t>
  </si>
  <si>
    <t xml:space="preserve">Drugs for Neglected Diseases Initiative (DNDi) Grant</t>
  </si>
  <si>
    <t xml:space="preserve">DNDi</t>
  </si>
  <si>
    <t xml:space="preserve">Research institution or company; neglected disease drug development; LMIC-relevant diseases</t>
  </si>
  <si>
    <t xml:space="preserve">Pharmaceutical scientists; Drug development researchers; African disease researchers; CROs</t>
  </si>
  <si>
    <t xml:space="preserve">Develops new treatments for neglected diseases disproportionately affecting people in poverty in LMICs.</t>
  </si>
  <si>
    <t xml:space="preserve">Neglected Disease Drug Development</t>
  </si>
  <si>
    <t xml:space="preserve">https://dndi.org/</t>
  </si>
  <si>
    <t xml:space="preserve">HQ Geneva; strong Africa portfolio</t>
  </si>
  <si>
    <t xml:space="preserve">PATH Global Health Innovation Grant</t>
  </si>
  <si>
    <t xml:space="preserve">PATH</t>
  </si>
  <si>
    <t xml:space="preserve">Global eligibility; health technology innovation for LMICs; implementable solutions required</t>
  </si>
  <si>
    <t xml:space="preserve">Health tech innovators; NGOs; Social enterprises; African health institutions; Universities</t>
  </si>
  <si>
    <t xml:space="preserve">Develops innovative health technologies and products that can be implemented in resource-limited settings.</t>
  </si>
  <si>
    <t xml:space="preserve">Health Technology for LMICs</t>
  </si>
  <si>
    <t xml:space="preserve">Global (Africa, Asia)</t>
  </si>
  <si>
    <t xml:space="preserve">2027-03-31</t>
  </si>
  <si>
    <t xml:space="preserve">https://www.path.org/</t>
  </si>
  <si>
    <t xml:space="preserve">Practical, scalable health tech focus</t>
  </si>
  <si>
    <t xml:space="preserve">International AIDS Society (IAS) Research Grant</t>
  </si>
  <si>
    <t xml:space="preserve">International AIDS Society</t>
  </si>
  <si>
    <t xml:space="preserve">International Association</t>
  </si>
  <si>
    <t xml:space="preserve">Researchers in LMICs; HIV focus; IAS membership an advantage; early-career track available</t>
  </si>
  <si>
    <t xml:space="preserve">HIV researchers; African clinicians; Virologists; Public health practitioners; Early-career scientists</t>
  </si>
  <si>
    <t xml:space="preserve">Supports HIV research with a focus on building research capacity in low- and middle-income countries.</t>
  </si>
  <si>
    <t xml:space="preserve">HIV/AIDS Research</t>
  </si>
  <si>
    <t xml:space="preserve">Global, LMIC focus</t>
  </si>
  <si>
    <t xml:space="preserve">https://www.iasociety.org/</t>
  </si>
  <si>
    <t xml:space="preserve">Multiple award categories</t>
  </si>
  <si>
    <t xml:space="preserve">Stop TB Partnership Research Grant</t>
  </si>
  <si>
    <t xml:space="preserve">Stop TB Partnership</t>
  </si>
  <si>
    <t xml:space="preserve">Global eligibility; TB focus; LMIC partners preferred; community engagement required</t>
  </si>
  <si>
    <t xml:space="preserve">TB researchers; Pulmonologists; Epidemiologists; Community health workers; African scientists</t>
  </si>
  <si>
    <t xml:space="preserve">Funds research to accelerate TB elimination through new diagnostics, drugs, and vaccines.</t>
  </si>
  <si>
    <t xml:space="preserve">Tuberculosis Research</t>
  </si>
  <si>
    <t xml:space="preserve">https://www.stoptb.org/</t>
  </si>
  <si>
    <t xml:space="preserve">Grants4TB initiative</t>
  </si>
  <si>
    <t xml:space="preserve">Malaria Consortium Research Grant</t>
  </si>
  <si>
    <t xml:space="preserve">Malaria Consortium</t>
  </si>
  <si>
    <t xml:space="preserve">Africa or Asia-based institution; malaria or NTD focus; operational research preferred</t>
  </si>
  <si>
    <t xml:space="preserve">Malaria researchers; Entomologists; Epidemiologists; African health teams; Implementation scientists</t>
  </si>
  <si>
    <t xml:space="preserve">Supports research to improve malaria prevention, diagnosis, and treatment in high-burden countries.</t>
  </si>
  <si>
    <t xml:space="preserve">Malaria &amp; Vector-Borne Disease</t>
  </si>
  <si>
    <t xml:space="preserve">Africa, South/Southeast Asia</t>
  </si>
  <si>
    <t xml:space="preserve">https://www.malariaconsortium.org/</t>
  </si>
  <si>
    <t xml:space="preserve">Uganda, Ethiopia, Nigeria focused</t>
  </si>
  <si>
    <t xml:space="preserve">Africa-Canada Artificial Intelligence &amp; Data Innovation Consortium</t>
  </si>
  <si>
    <t xml:space="preserve">ACADIC / IDRC</t>
  </si>
  <si>
    <t xml:space="preserve">Canada-Africa</t>
  </si>
  <si>
    <t xml:space="preserve">African-Canadian partnership; AI/ML application to health; African institution as lead preferred</t>
  </si>
  <si>
    <t xml:space="preserve">AI/data scientists; Health informaticists; African tech researchers; Canadian-African teams</t>
  </si>
  <si>
    <t xml:space="preserve">Applies artificial intelligence and data science to solve health challenges in African contexts.</t>
  </si>
  <si>
    <t xml:space="preserve">AI, Data Science &amp; Digital Health</t>
  </si>
  <si>
    <t xml:space="preserve">Africa, Canada</t>
  </si>
  <si>
    <t xml:space="preserve">2024-12-15</t>
  </si>
  <si>
    <t xml:space="preserve">https://acadic.org/</t>
  </si>
  <si>
    <t xml:space="preserve">Emerging AI-for-health focus</t>
  </si>
  <si>
    <t xml:space="preserve">International Development Research Centre (IDRC) Health Research Grant</t>
  </si>
  <si>
    <t xml:space="preserve">IDRC Canada</t>
  </si>
  <si>
    <t xml:space="preserve">Canadian Government</t>
  </si>
  <si>
    <t xml:space="preserve">African or LMIC institution; development-focused health research; mixed-methods encouraged</t>
  </si>
  <si>
    <t xml:space="preserve">African health researchers; Development sector scientists; Policy researchers; NGOs</t>
  </si>
  <si>
    <t xml:space="preserve">Funds health research in developing countries to produce knowledge that supports policy and practice change.</t>
  </si>
  <si>
    <t xml:space="preserve">Health Systems &amp; Development Research</t>
  </si>
  <si>
    <t xml:space="preserve">Africa, Asia, Latin America</t>
  </si>
  <si>
    <t xml:space="preserve">https://www.idrc.ca/</t>
  </si>
  <si>
    <t xml:space="preserve">Canada's leading development research funder</t>
  </si>
  <si>
    <t xml:space="preserve">Rockefeller Foundation Planetary Health Grant</t>
  </si>
  <si>
    <t xml:space="preserve">Rockefeller Foundation</t>
  </si>
  <si>
    <t xml:space="preserve">Global eligibility; climate &amp; health nexus focus; Africa and LMICs prioritised; systems approach required</t>
  </si>
  <si>
    <t xml:space="preserve">Climate health researchers; One Health scientists; African institutions; Environmental health teams</t>
  </si>
  <si>
    <t xml:space="preserve">Addresses the intersection of climate change and human health, with focus on vulnerable populations in LMICs.</t>
  </si>
  <si>
    <t xml:space="preserve">Planetary Health &amp; Climate Change</t>
  </si>
  <si>
    <t xml:space="preserve">2025-05-01</t>
  </si>
  <si>
    <t xml:space="preserve">2028-04-30</t>
  </si>
  <si>
    <t xml:space="preserve">https://www.rockefellerfoundation.org/</t>
  </si>
  <si>
    <t xml:space="preserve">One Health and climate-health nexus</t>
  </si>
  <si>
    <t xml:space="preserve">UK Research &amp; Innovation (UKRI) – Africa Health Research</t>
  </si>
  <si>
    <t xml:space="preserve">UKRI / MRC</t>
  </si>
  <si>
    <t xml:space="preserve">UK Government</t>
  </si>
  <si>
    <t xml:space="preserve">UK-Africa collaboration required; African institution as partner; health focus; equitable partnership</t>
  </si>
  <si>
    <t xml:space="preserve">African researchers with UK partners; Joint research teams; Universities; Research centres</t>
  </si>
  <si>
    <t xml:space="preserve">Funds equitable UK-Africa health research partnerships to address African health priorities.</t>
  </si>
  <si>
    <t xml:space="preserve">UK-Africa Health Research Partnership</t>
  </si>
  <si>
    <t xml:space="preserve">Africa, United Kingdom</t>
  </si>
  <si>
    <t xml:space="preserve">https://www.ukri.org/opportunity/</t>
  </si>
  <si>
    <t xml:space="preserve">MRC partnership schemes</t>
  </si>
  <si>
    <t xml:space="preserve">European Union Horizon Health – Africa Partnerships</t>
  </si>
  <si>
    <t xml:space="preserve">European Commission (Horizon Europe)</t>
  </si>
  <si>
    <t xml:space="preserve">EU Government</t>
  </si>
  <si>
    <t xml:space="preserve">African-EU consortium; minimum 2 EU + 2 African institutions; health innovation or systems focus</t>
  </si>
  <si>
    <t xml:space="preserve">African-EU research consortia; Universities; Research centres; Health innovation organisations</t>
  </si>
  <si>
    <t xml:space="preserve">Funds collaborative health research between Europe and Africa to address shared and emerging health challenges.</t>
  </si>
  <si>
    <t xml:space="preserve">EU-Africa Health Research Collaboration</t>
  </si>
  <si>
    <t xml:space="preserve">Africa, European Union</t>
  </si>
  <si>
    <t xml:space="preserve">2025-10-01</t>
  </si>
  <si>
    <t xml:space="preserve">2029-09-30</t>
  </si>
  <si>
    <t xml:space="preserve">https://ec.europa.eu/info/research-and-innovation/</t>
  </si>
  <si>
    <t xml:space="preserve">Consortium grant minimum 4 partners</t>
  </si>
  <si>
    <t xml:space="preserve">Population Council Research Grant (Africa)</t>
  </si>
  <si>
    <t xml:space="preserve">Population Council</t>
  </si>
  <si>
    <t xml:space="preserve">African institution; reproductive health, adolescent health, or gender-based violence focus</t>
  </si>
  <si>
    <t xml:space="preserve">Reproductive health researchers; Gender researchers; Adolescent health specialists; African NGOs</t>
  </si>
  <si>
    <t xml:space="preserve">Supports social science and public health research on reproductive health and gender in African contexts.</t>
  </si>
  <si>
    <t xml:space="preserve">Reproductive &amp; Adolescent Health</t>
  </si>
  <si>
    <t xml:space="preserve">https://www.popcouncil.org/</t>
  </si>
  <si>
    <t xml:space="preserve">Strong gender and SRHR focus</t>
  </si>
  <si>
    <t xml:space="preserve">IAVI HIV Vaccine Research Grant</t>
  </si>
  <si>
    <t xml:space="preserve">International AIDS Vaccine Initiative</t>
  </si>
  <si>
    <t xml:space="preserve">Global eligibility; HIV vaccine R&amp;D focus; African clinical sites strongly preferred</t>
  </si>
  <si>
    <t xml:space="preserve">Vaccinologists; HIV researchers; African clinical trial sites; Immunologists; Biotechnology researchers</t>
  </si>
  <si>
    <t xml:space="preserve">Accelerates development of safe, effective, and accessible HIV vaccines for populations most affected.</t>
  </si>
  <si>
    <t xml:space="preserve">HIV Vaccine Development</t>
  </si>
  <si>
    <t xml:space="preserve">Global, Africa clinical sites</t>
  </si>
  <si>
    <t xml:space="preserve">https://www.iavi.org/</t>
  </si>
  <si>
    <t xml:space="preserve">Africa preferred for clinical phases</t>
  </si>
  <si>
    <t xml:space="preserve">Sightsavers Africa Eye Health Research Grant</t>
  </si>
  <si>
    <t xml:space="preserve">Sightsavers</t>
  </si>
  <si>
    <t xml:space="preserve">African researcher; eye health / blindness prevention focus; LMIC context; community component</t>
  </si>
  <si>
    <t xml:space="preserve">Ophthalmologists; Public health eye specialists; African health researchers; NTD researchers</t>
  </si>
  <si>
    <t xml:space="preserve">Supports research to prevent avoidable blindness and promote eye health in Africa and other LMICs.</t>
  </si>
  <si>
    <t xml:space="preserve">Eye Health &amp; Blindness Prevention</t>
  </si>
  <si>
    <t xml:space="preserve">2026-11-30</t>
  </si>
  <si>
    <t xml:space="preserve">https://www.sightsavers.org/</t>
  </si>
  <si>
    <t xml:space="preserve">Trachoma, onchocerciasis, refractive error</t>
  </si>
  <si>
    <t xml:space="preserve">International Centre for Diarrhoeal Disease Research (ICDDR) Grant</t>
  </si>
  <si>
    <t xml:space="preserve">ICDDR Bangladesh / Africa Partners</t>
  </si>
  <si>
    <t xml:space="preserve">International Research</t>
  </si>
  <si>
    <t xml:space="preserve">LMIC institutions; diarrhoeal disease, enteric infections, or nutrition focus; multi-country welcome</t>
  </si>
  <si>
    <t xml:space="preserve">Enteric disease researchers; Nutritionists; African health scientists; Epidemiologists</t>
  </si>
  <si>
    <t xml:space="preserve">Funds research on diarrhoeal diseases, nutrition, and enteric infections in LMICs including Africa.</t>
  </si>
  <si>
    <t xml:space="preserve">Diarrhoeal Disease &amp; Nutrition Research</t>
  </si>
  <si>
    <t xml:space="preserve">LMICs, Africa, Bangladesh</t>
  </si>
  <si>
    <t xml:space="preserve">https://www.icddrb.org/</t>
  </si>
  <si>
    <t xml:space="preserve">Strong nutrition &amp; WASH linkage</t>
  </si>
  <si>
    <t xml:space="preserve">WAHO West Africa Health Research Grant</t>
  </si>
  <si>
    <t xml:space="preserve">West African Health Organisation</t>
  </si>
  <si>
    <t xml:space="preserve">Regional Government</t>
  </si>
  <si>
    <t xml:space="preserve">ECOWAS member state institution; West Africa health priority; at least 2 ECOWAS countries</t>
  </si>
  <si>
    <t xml:space="preserve">West African researchers; Multi-country health teams; Regional health ministries; Universities</t>
  </si>
  <si>
    <t xml:space="preserve">Supports multi-country health research to address shared disease burdens across West African states.</t>
  </si>
  <si>
    <t xml:space="preserve">West Africa Regional Health Research</t>
  </si>
  <si>
    <t xml:space="preserve">West Africa (ECOWAS)</t>
  </si>
  <si>
    <t xml:space="preserve">2028-01-31</t>
  </si>
  <si>
    <t xml:space="preserve">https://www.wahooas.org/</t>
  </si>
  <si>
    <t xml:space="preserve">ECOWAS regional body</t>
  </si>
  <si>
    <t xml:space="preserve">COSECSA Surgical Research Grant (East &amp; Central Africa)</t>
  </si>
  <si>
    <t xml:space="preserve">College of Surgeons of East, Central &amp; Southern Africa</t>
  </si>
  <si>
    <t xml:space="preserve">Regional Professional Body</t>
  </si>
  <si>
    <t xml:space="preserve">COSECSA member or trainee; surgical or anaesthesia research; East/Central/Southern Africa</t>
  </si>
  <si>
    <t xml:space="preserve">Surgeons; Anaesthesiologists; Surgical residents; Peri-operative researchers; Trauma specialists</t>
  </si>
  <si>
    <t xml:space="preserve">Supports surgical and anaesthesia research to improve access to safe surgery in East and Central Africa.</t>
  </si>
  <si>
    <t xml:space="preserve">Surgical Research &amp; Safe Surgery</t>
  </si>
  <si>
    <t xml:space="preserve">East, Central &amp; Southern Africa</t>
  </si>
  <si>
    <t xml:space="preserve">https://www.cosecsa.org/</t>
  </si>
  <si>
    <t xml:space="preserve">Promotes surgical research capacity in region</t>
  </si>
  <si>
    <t xml:space="preserve">African Doctoral Dissertation Research Fellowship (ADDRF)</t>
  </si>
  <si>
    <t xml:space="preserve">APHRC / MacArthur Foundation</t>
  </si>
  <si>
    <t xml:space="preserve">African PhD candidates; social science or health-related dissertation; final writing stage</t>
  </si>
  <si>
    <t xml:space="preserve">African PhD students; Health policy researchers; Social scientists; Postgraduate health researchers</t>
  </si>
  <si>
    <t xml:space="preserve">Supports African doctoral students to complete high-quality dissertations on African health challenges.</t>
  </si>
  <si>
    <t xml:space="preserve">Doctoral Research Completion</t>
  </si>
  <si>
    <t xml:space="preserve">2025-10-31</t>
  </si>
  <si>
    <t xml:space="preserve">https://aphrc.org/addrf/</t>
  </si>
  <si>
    <t xml:space="preserve">Writing support + mentorship</t>
  </si>
  <si>
    <t xml:space="preserve">MEPI (Medical Education Partnership Initiative) Research Fund</t>
  </si>
  <si>
    <t xml:space="preserve">PEPFAR / NIH</t>
  </si>
  <si>
    <t xml:space="preserve">African medical education institution; HIV-integrated medical training or clinical research; Sub-Saharan</t>
  </si>
  <si>
    <t xml:space="preserve">African medical schools; Health professions educators; Clinical researchers; Training programme leaders</t>
  </si>
  <si>
    <t xml:space="preserve">Strengthens African medical education and builds clinical research capacity at African medical schools.</t>
  </si>
  <si>
    <t xml:space="preserve">Medical Education &amp; Research Capacity</t>
  </si>
  <si>
    <t xml:space="preserve">2030-03-31</t>
  </si>
  <si>
    <t xml:space="preserve">https://www.mepinetwork.org/</t>
  </si>
  <si>
    <t xml:space="preserve">PEPFAR-funded medical education</t>
  </si>
  <si>
    <t xml:space="preserve">Nutrition International Research Grant (Africa)</t>
  </si>
  <si>
    <t xml:space="preserve">Nutrition International</t>
  </si>
  <si>
    <t xml:space="preserve">African institution; nutrition or micronutrient deficiency focus; policy-relevant research</t>
  </si>
  <si>
    <t xml:space="preserve">Nutritionists; Public health researchers; Food scientists; African health policy researchers</t>
  </si>
  <si>
    <t xml:space="preserve">Funds research to reduce malnutrition and micronutrient deficiencies affecting vulnerable African populations.</t>
  </si>
  <si>
    <t xml:space="preserve">Nutrition &amp; Food Security Research</t>
  </si>
  <si>
    <t xml:space="preserve">2028-01-14</t>
  </si>
  <si>
    <t xml:space="preserve">https://www.nutritionintl.org/</t>
  </si>
  <si>
    <t xml:space="preserve">Focus on maternal, infant, child nutrition</t>
  </si>
  <si>
    <t xml:space="preserve">Médecins du Monde African Field Research Grant</t>
  </si>
  <si>
    <t xml:space="preserve">Médecins du Monde</t>
  </si>
  <si>
    <t xml:space="preserve">African researchers or MDM operational partners; vulnerable populations; field/operational research</t>
  </si>
  <si>
    <t xml:space="preserve">Field health researchers; African NGO workers; Humanitarian health teams; Community health researchers</t>
  </si>
  <si>
    <t xml:space="preserve">Supports operational health research in resource-limited and humanitarian settings across Africa.</t>
  </si>
  <si>
    <t xml:space="preserve">Humanitarian Field Health Research</t>
  </si>
  <si>
    <t xml:space="preserve">https://www.medecinsdumonde.org/</t>
  </si>
  <si>
    <t xml:space="preserve">Focus on marginalised/excluded populations</t>
  </si>
  <si>
    <t xml:space="preserve">Commonwealth Scholarship &amp; Fellowship Plan – Medical Research</t>
  </si>
  <si>
    <t xml:space="preserve">Commonwealth Scholarship Commission</t>
  </si>
  <si>
    <t xml:space="preserve">Commonwealth Government</t>
  </si>
  <si>
    <t xml:space="preserve">Commonwealth country citizen; UK-based study or research component; health/biomedical focus</t>
  </si>
  <si>
    <t xml:space="preserve">Kenyan &amp; African scholars; Commonwealth country researchers; Postgraduate health researchers</t>
  </si>
  <si>
    <t xml:space="preserve">Provides scholarships and fellowships to outstanding researchers from Commonwealth countries.</t>
  </si>
  <si>
    <t xml:space="preserve">Biomedical Research Scholarship</t>
  </si>
  <si>
    <t xml:space="preserve">Commonwealth (Africa, Asia, Pacific)</t>
  </si>
  <si>
    <t xml:space="preserve">2024-10-31</t>
  </si>
  <si>
    <t xml:space="preserve">2027-08-31</t>
  </si>
  <si>
    <t xml:space="preserve">https://cscuk.fcdo.gov.uk/</t>
  </si>
  <si>
    <t xml:space="preserve">Kenya eligible as Commonwealth member</t>
  </si>
  <si>
    <t xml:space="preserve">African Union Research Grant on NCDs</t>
  </si>
  <si>
    <t xml:space="preserve">African Union / Africa CDC</t>
  </si>
  <si>
    <t xml:space="preserve">Pan-African Government</t>
  </si>
  <si>
    <t xml:space="preserve">African Union member state institution; NCD prevention or treatment; multi-country preferred</t>
  </si>
  <si>
    <t xml:space="preserve">NCD researchers; Cardiologists; Oncologists; African public health institutes; Policy researchers</t>
  </si>
  <si>
    <t xml:space="preserve">Supports research on the rising burden of non-communicable diseases across the African continent.</t>
  </si>
  <si>
    <t xml:space="preserve">Non-Communicable Disease (NCD) Research</t>
  </si>
  <si>
    <t xml:space="preserve">2028-06-30</t>
  </si>
  <si>
    <t xml:space="preserve">https://www.africa-union.org/</t>
  </si>
  <si>
    <t xml:space="preserve">Africa CDC partnership; NCD priority</t>
  </si>
  <si>
    <t xml:space="preserve">Gavi Alliance Research &amp; Evaluation Grant</t>
  </si>
  <si>
    <t xml:space="preserve">Gavi, the Vaccine Alliance</t>
  </si>
  <si>
    <t xml:space="preserve">Global eligibility; vaccine introduction, demand, or impact research; LMIC context; Africa priority</t>
  </si>
  <si>
    <t xml:space="preserve">Vaccine researchers; Epidemiologists; Health economists; African immunisation programme researchers</t>
  </si>
  <si>
    <t xml:space="preserve">Funds research to accelerate vaccine introduction and improve immunisation programme outcomes in LMICs.</t>
  </si>
  <si>
    <t xml:space="preserve">Vaccine Research &amp; Immunisation</t>
  </si>
  <si>
    <t xml:space="preserve">Global, Africa &amp; Asia</t>
  </si>
  <si>
    <t xml:space="preserve">https://www.gavi.org/</t>
  </si>
  <si>
    <t xml:space="preserve">Supports Gavi-eligible country research</t>
  </si>
  <si>
    <t xml:space="preserve">🌍  Africa &amp; Kenya Medical Research Grant Database — Summary Dashboard</t>
  </si>
  <si>
    <t xml:space="preserve">Total Grants</t>
  </si>
  <si>
    <t xml:space="preserve">Open Grants</t>
  </si>
  <si>
    <t xml:space="preserve">Closed Grants</t>
  </si>
  <si>
    <t xml:space="preserve">Upcoming Grants</t>
  </si>
  <si>
    <t xml:space="preserve">Kenya-Specific</t>
  </si>
  <si>
    <t xml:space="preserve">East Africa</t>
  </si>
  <si>
    <t xml:space="preserve">Global (LMIC)</t>
  </si>
  <si>
    <t xml:space="preserve">Count</t>
  </si>
  <si>
    <t xml:space="preserve">% of Total</t>
  </si>
  <si>
    <t xml:space="preserve">Focus Area</t>
  </si>
  <si>
    <t xml:space="preserve">HIV/AIDS</t>
  </si>
  <si>
    <t xml:space="preserve">Malaria</t>
  </si>
  <si>
    <t xml:space="preserve">Tuberculosis</t>
  </si>
  <si>
    <t xml:space="preserve">TOTAL</t>
  </si>
  <si>
    <t xml:space="preserve">NCD</t>
  </si>
  <si>
    <t xml:space="preserve">Maternal Health</t>
  </si>
  <si>
    <t xml:space="preserve">Nutrition</t>
  </si>
  <si>
    <t xml:space="preserve">Genomics</t>
  </si>
  <si>
    <t xml:space="preserve">Digital Health</t>
  </si>
  <si>
    <t xml:space="preserve">Surgical</t>
  </si>
  <si>
    <t xml:space="preserve">Eye Health</t>
  </si>
  <si>
    <t xml:space="preserve">🇰🇪  Kenya-Relevant Grants — Quick Reference</t>
  </si>
  <si>
    <t xml:space="preserve">Organization</t>
  </si>
  <si>
    <t xml:space="preserve">Amount (USD)</t>
  </si>
  <si>
    <t xml:space="preserve">Deadline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</si>
</sst>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General"/>
    <numFmt numFmtId="167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D6891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B4332"/>
      <name val="Arial"/>
      <family val="0"/>
      <charset val="1"/>
    </font>
    <font>
      <b val="true"/>
      <sz val="16"/>
      <color rgb="FF2D6A4F"/>
      <name val="Arial"/>
      <family val="0"/>
      <charset val="1"/>
    </font>
    <font>
      <b val="true"/>
      <sz val="16"/>
      <color rgb="FFC0392B"/>
      <name val="Arial"/>
      <family val="0"/>
      <charset val="1"/>
    </font>
    <font>
      <b val="true"/>
      <sz val="16"/>
      <color rgb="FFB7950B"/>
      <name val="Arial"/>
      <family val="0"/>
      <charset val="1"/>
    </font>
    <font>
      <b val="true"/>
      <sz val="16"/>
      <color rgb="FF117A65"/>
      <name val="Arial"/>
      <family val="0"/>
      <charset val="1"/>
    </font>
    <font>
      <b val="true"/>
      <sz val="16"/>
      <color rgb="FF2E86C1"/>
      <name val="Arial"/>
      <family val="0"/>
      <charset val="1"/>
    </font>
    <font>
      <b val="true"/>
      <sz val="16"/>
      <color rgb="FF0E7C7B"/>
      <name val="Arial"/>
      <family val="0"/>
      <charset val="1"/>
    </font>
    <font>
      <b val="true"/>
      <sz val="16"/>
      <color rgb="FF6C3483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D689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4332"/>
        <bgColor rgb="FF2C3E50"/>
      </patternFill>
    </fill>
    <fill>
      <patternFill patternType="solid">
        <fgColor rgb="FFFFFFFF"/>
        <bgColor rgb="FFF8F9FA"/>
      </patternFill>
    </fill>
    <fill>
      <patternFill patternType="solid">
        <fgColor rgb="FFE8F8F5"/>
        <bgColor rgb="FFF2F3F4"/>
      </patternFill>
    </fill>
    <fill>
      <patternFill patternType="solid">
        <fgColor rgb="FFF2F3F4"/>
        <bgColor rgb="FFF8F9FA"/>
      </patternFill>
    </fill>
    <fill>
      <patternFill patternType="solid">
        <fgColor rgb="FFFEF9E7"/>
        <bgColor rgb="FFF8F9FA"/>
      </patternFill>
    </fill>
    <fill>
      <patternFill patternType="solid">
        <fgColor rgb="FFFDEDEC"/>
        <bgColor rgb="FFF2F3F4"/>
      </patternFill>
    </fill>
    <fill>
      <patternFill patternType="solid">
        <fgColor rgb="FF2D6A4F"/>
        <bgColor rgb="FF117A65"/>
      </patternFill>
    </fill>
    <fill>
      <patternFill patternType="solid">
        <fgColor rgb="FFC0392B"/>
        <bgColor rgb="FF993366"/>
      </patternFill>
    </fill>
    <fill>
      <patternFill patternType="solid">
        <fgColor rgb="FFB7950B"/>
        <bgColor rgb="FFD68910"/>
      </patternFill>
    </fill>
    <fill>
      <patternFill patternType="solid">
        <fgColor rgb="FF117A65"/>
        <bgColor rgb="FF0E7C7B"/>
      </patternFill>
    </fill>
    <fill>
      <patternFill patternType="solid">
        <fgColor rgb="FF2E86C1"/>
        <bgColor rgb="FF0E7C7B"/>
      </patternFill>
    </fill>
    <fill>
      <patternFill patternType="solid">
        <fgColor rgb="FF0E7C7B"/>
        <bgColor rgb="FF117A65"/>
      </patternFill>
    </fill>
    <fill>
      <patternFill patternType="solid">
        <fgColor rgb="FF6C3483"/>
        <bgColor rgb="FF993366"/>
      </patternFill>
    </fill>
    <fill>
      <patternFill patternType="solid">
        <fgColor rgb="FFF8F9FA"/>
        <bgColor rgb="FFF2F3F4"/>
      </patternFill>
    </fill>
    <fill>
      <patternFill patternType="solid">
        <fgColor rgb="FFCA6F1E"/>
        <bgColor rgb="FFD68910"/>
      </patternFill>
    </fill>
    <fill>
      <patternFill patternType="solid">
        <fgColor rgb="FFD1F2EB"/>
        <bgColor rgb="FFE8F8F5"/>
      </patternFill>
    </fill>
    <fill>
      <patternFill patternType="solid">
        <fgColor rgb="FF2C3E50"/>
        <bgColor rgb="FF1B433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4332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68910"/>
          <bgColor rgb="FF000000"/>
        </patternFill>
      </fill>
    </dxf>
    <dxf>
      <fill>
        <patternFill patternType="solid">
          <fgColor rgb="FF2D6A4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D6A4F"/>
      <rgbColor rgb="FF000080"/>
      <rgbColor rgb="FFB7950B"/>
      <rgbColor rgb="FF800080"/>
      <rgbColor rgb="FF0E7C7B"/>
      <rgbColor rgb="FFBDC3C7"/>
      <rgbColor rgb="FF808080"/>
      <rgbColor rgb="FF9999FF"/>
      <rgbColor rgb="FF6C3483"/>
      <rgbColor rgb="FFFEF9E7"/>
      <rgbColor rgb="FFD1F2EB"/>
      <rgbColor rgb="FF660066"/>
      <rgbColor rgb="FFFF8080"/>
      <rgbColor rgb="FF0066CC"/>
      <rgbColor rgb="FFF8F9FA"/>
      <rgbColor rgb="FF000080"/>
      <rgbColor rgb="FFFF00FF"/>
      <rgbColor rgb="FFFFFF00"/>
      <rgbColor rgb="FF00FFFF"/>
      <rgbColor rgb="FF800080"/>
      <rgbColor rgb="FF800000"/>
      <rgbColor rgb="FF117A65"/>
      <rgbColor rgb="FF0000FF"/>
      <rgbColor rgb="FF00CCFF"/>
      <rgbColor rgb="FFE8F8F5"/>
      <rgbColor rgb="FFF2F3F4"/>
      <rgbColor rgb="FFFDEDEC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D68910"/>
      <rgbColor rgb="FFCA6F1E"/>
      <rgbColor rgb="FF666699"/>
      <rgbColor rgb="FF969696"/>
      <rgbColor rgb="FF003366"/>
      <rgbColor rgb="FF1E8449"/>
      <rgbColor rgb="FF003300"/>
      <rgbColor rgb="FF1B4332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7" min="6" style="0" width="38"/>
    <col collapsed="false" customWidth="true" hidden="false" outlineLevel="0" max="8" min="8" style="0" width="52"/>
    <col collapsed="false" customWidth="true" hidden="false" outlineLevel="0" max="9" min="9" style="0" width="28"/>
    <col collapsed="false" customWidth="true" hidden="false" outlineLevel="0" max="10" min="10" style="0" width="22"/>
    <col collapsed="false" customWidth="true" hidden="false" outlineLevel="0" max="12" min="11" style="0" width="16"/>
    <col collapsed="false" customWidth="true" hidden="false" outlineLevel="0" max="13" min="13" style="0" width="18"/>
    <col collapsed="false" customWidth="true" hidden="false" outlineLevel="0" max="15" min="14" style="0" width="16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40"/>
    <col collapsed="false" customWidth="true" hidden="false" outlineLevel="0" max="19" min="19" style="0" width="3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72" hidden="false" customHeight="true" outlineLevel="0" collapsed="false">
      <c r="A2" s="2" t="n">
        <v>1</v>
      </c>
      <c r="B2" s="2" t="s">
        <v>19</v>
      </c>
      <c r="C2" s="2" t="s">
        <v>20</v>
      </c>
      <c r="D2" s="2" t="s">
        <v>21</v>
      </c>
      <c r="E2" s="3" t="n">
        <v>50000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n">
        <v>24</v>
      </c>
      <c r="Q2" s="4" t="s">
        <v>32</v>
      </c>
      <c r="R2" s="2" t="s">
        <v>33</v>
      </c>
      <c r="S2" s="2" t="s">
        <v>34</v>
      </c>
    </row>
    <row r="3" customFormat="false" ht="72" hidden="false" customHeight="true" outlineLevel="0" collapsed="false">
      <c r="A3" s="5" t="n">
        <v>2</v>
      </c>
      <c r="B3" s="5" t="s">
        <v>35</v>
      </c>
      <c r="C3" s="5" t="s">
        <v>36</v>
      </c>
      <c r="D3" s="5" t="s">
        <v>37</v>
      </c>
      <c r="E3" s="6" t="n">
        <v>30000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26</v>
      </c>
      <c r="K3" s="5" t="s">
        <v>42</v>
      </c>
      <c r="L3" s="5" t="s">
        <v>43</v>
      </c>
      <c r="M3" s="5" t="s">
        <v>44</v>
      </c>
      <c r="N3" s="5" t="s">
        <v>45</v>
      </c>
      <c r="O3" s="5" t="s">
        <v>46</v>
      </c>
      <c r="P3" s="5" t="n">
        <v>24</v>
      </c>
      <c r="Q3" s="4" t="s">
        <v>32</v>
      </c>
      <c r="R3" s="5" t="s">
        <v>47</v>
      </c>
      <c r="S3" s="5" t="s">
        <v>48</v>
      </c>
    </row>
    <row r="4" customFormat="false" ht="72" hidden="false" customHeight="true" outlineLevel="0" collapsed="false">
      <c r="A4" s="2" t="n">
        <v>3</v>
      </c>
      <c r="B4" s="2" t="s">
        <v>49</v>
      </c>
      <c r="C4" s="2" t="s">
        <v>50</v>
      </c>
      <c r="D4" s="2" t="s">
        <v>51</v>
      </c>
      <c r="E4" s="3" t="n">
        <v>80000</v>
      </c>
      <c r="F4" s="2" t="s">
        <v>52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61</v>
      </c>
      <c r="P4" s="2" t="n">
        <v>24</v>
      </c>
      <c r="Q4" s="4" t="s">
        <v>32</v>
      </c>
      <c r="R4" s="2" t="s">
        <v>62</v>
      </c>
      <c r="S4" s="2" t="s">
        <v>63</v>
      </c>
    </row>
    <row r="5" customFormat="false" ht="72" hidden="false" customHeight="true" outlineLevel="0" collapsed="false">
      <c r="A5" s="5" t="n">
        <v>4</v>
      </c>
      <c r="B5" s="5" t="s">
        <v>64</v>
      </c>
      <c r="C5" s="5" t="s">
        <v>65</v>
      </c>
      <c r="D5" s="5" t="s">
        <v>66</v>
      </c>
      <c r="E5" s="6" t="n">
        <v>60000</v>
      </c>
      <c r="F5" s="5" t="s">
        <v>67</v>
      </c>
      <c r="G5" s="5" t="s">
        <v>68</v>
      </c>
      <c r="H5" s="5" t="s">
        <v>69</v>
      </c>
      <c r="I5" s="5" t="s">
        <v>70</v>
      </c>
      <c r="J5" s="5" t="s">
        <v>71</v>
      </c>
      <c r="K5" s="5" t="s">
        <v>72</v>
      </c>
      <c r="L5" s="5" t="s">
        <v>73</v>
      </c>
      <c r="M5" s="5" t="s">
        <v>30</v>
      </c>
      <c r="N5" s="5" t="s">
        <v>60</v>
      </c>
      <c r="O5" s="5" t="s">
        <v>61</v>
      </c>
      <c r="P5" s="5" t="n">
        <v>24</v>
      </c>
      <c r="Q5" s="4" t="s">
        <v>32</v>
      </c>
      <c r="R5" s="5" t="s">
        <v>74</v>
      </c>
      <c r="S5" s="5" t="s">
        <v>75</v>
      </c>
    </row>
    <row r="6" customFormat="false" ht="72" hidden="false" customHeight="true" outlineLevel="0" collapsed="false">
      <c r="A6" s="2" t="n">
        <v>5</v>
      </c>
      <c r="B6" s="2" t="s">
        <v>76</v>
      </c>
      <c r="C6" s="2" t="s">
        <v>77</v>
      </c>
      <c r="D6" s="2" t="s">
        <v>66</v>
      </c>
      <c r="E6" s="3" t="n">
        <v>20000</v>
      </c>
      <c r="F6" s="2" t="s">
        <v>78</v>
      </c>
      <c r="G6" s="2" t="s">
        <v>79</v>
      </c>
      <c r="H6" s="2" t="s">
        <v>80</v>
      </c>
      <c r="I6" s="2" t="s">
        <v>81</v>
      </c>
      <c r="J6" s="2" t="s">
        <v>26</v>
      </c>
      <c r="K6" s="2" t="s">
        <v>82</v>
      </c>
      <c r="L6" s="2" t="s">
        <v>83</v>
      </c>
      <c r="M6" s="2" t="s">
        <v>84</v>
      </c>
      <c r="N6" s="2" t="s">
        <v>85</v>
      </c>
      <c r="O6" s="2" t="s">
        <v>86</v>
      </c>
      <c r="P6" s="2" t="n">
        <v>12</v>
      </c>
      <c r="Q6" s="4" t="s">
        <v>32</v>
      </c>
      <c r="R6" s="2" t="s">
        <v>87</v>
      </c>
      <c r="S6" s="2" t="s">
        <v>88</v>
      </c>
    </row>
    <row r="7" customFormat="false" ht="72" hidden="false" customHeight="true" outlineLevel="0" collapsed="false">
      <c r="A7" s="5" t="n">
        <v>6</v>
      </c>
      <c r="B7" s="5" t="s">
        <v>89</v>
      </c>
      <c r="C7" s="5" t="s">
        <v>90</v>
      </c>
      <c r="D7" s="5" t="s">
        <v>91</v>
      </c>
      <c r="E7" s="6" t="n">
        <v>25000</v>
      </c>
      <c r="F7" s="5" t="s">
        <v>92</v>
      </c>
      <c r="G7" s="5" t="s">
        <v>93</v>
      </c>
      <c r="H7" s="5" t="s">
        <v>94</v>
      </c>
      <c r="I7" s="5" t="s">
        <v>95</v>
      </c>
      <c r="J7" s="5" t="s">
        <v>26</v>
      </c>
      <c r="K7" s="5" t="s">
        <v>42</v>
      </c>
      <c r="L7" s="5" t="s">
        <v>96</v>
      </c>
      <c r="M7" s="5" t="s">
        <v>29</v>
      </c>
      <c r="N7" s="5" t="s">
        <v>97</v>
      </c>
      <c r="O7" s="5" t="s">
        <v>98</v>
      </c>
      <c r="P7" s="5" t="n">
        <v>24</v>
      </c>
      <c r="Q7" s="4" t="s">
        <v>32</v>
      </c>
      <c r="R7" s="5" t="s">
        <v>99</v>
      </c>
      <c r="S7" s="5" t="s">
        <v>100</v>
      </c>
    </row>
    <row r="8" customFormat="false" ht="72" hidden="false" customHeight="true" outlineLevel="0" collapsed="false">
      <c r="A8" s="2" t="n">
        <v>7</v>
      </c>
      <c r="B8" s="2" t="s">
        <v>101</v>
      </c>
      <c r="C8" s="2" t="s">
        <v>102</v>
      </c>
      <c r="D8" s="2" t="s">
        <v>37</v>
      </c>
      <c r="E8" s="3" t="n">
        <v>40000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26</v>
      </c>
      <c r="K8" s="2" t="s">
        <v>84</v>
      </c>
      <c r="L8" s="2" t="s">
        <v>107</v>
      </c>
      <c r="M8" s="2" t="s">
        <v>45</v>
      </c>
      <c r="N8" s="2" t="s">
        <v>108</v>
      </c>
      <c r="O8" s="2" t="s">
        <v>109</v>
      </c>
      <c r="P8" s="2" t="n">
        <v>36</v>
      </c>
      <c r="Q8" s="7" t="s">
        <v>110</v>
      </c>
      <c r="R8" s="2" t="s">
        <v>111</v>
      </c>
      <c r="S8" s="2" t="s">
        <v>112</v>
      </c>
    </row>
    <row r="9" customFormat="false" ht="72" hidden="false" customHeight="true" outlineLevel="0" collapsed="false">
      <c r="A9" s="5" t="n">
        <v>8</v>
      </c>
      <c r="B9" s="5" t="s">
        <v>113</v>
      </c>
      <c r="C9" s="5" t="s">
        <v>114</v>
      </c>
      <c r="D9" s="5" t="s">
        <v>115</v>
      </c>
      <c r="E9" s="6" t="n">
        <v>15000</v>
      </c>
      <c r="F9" s="5" t="s">
        <v>116</v>
      </c>
      <c r="G9" s="5" t="s">
        <v>117</v>
      </c>
      <c r="H9" s="5" t="s">
        <v>118</v>
      </c>
      <c r="I9" s="5" t="s">
        <v>119</v>
      </c>
      <c r="J9" s="5" t="s">
        <v>26</v>
      </c>
      <c r="K9" s="5" t="s">
        <v>83</v>
      </c>
      <c r="L9" s="5" t="s">
        <v>58</v>
      </c>
      <c r="M9" s="5" t="s">
        <v>44</v>
      </c>
      <c r="N9" s="5" t="s">
        <v>30</v>
      </c>
      <c r="O9" s="5" t="s">
        <v>120</v>
      </c>
      <c r="P9" s="5" t="n">
        <v>12</v>
      </c>
      <c r="Q9" s="8" t="s">
        <v>121</v>
      </c>
      <c r="R9" s="5" t="s">
        <v>122</v>
      </c>
      <c r="S9" s="5" t="s">
        <v>123</v>
      </c>
    </row>
    <row r="10" customFormat="false" ht="72" hidden="false" customHeight="true" outlineLevel="0" collapsed="false">
      <c r="A10" s="2" t="n">
        <v>9</v>
      </c>
      <c r="B10" s="2" t="s">
        <v>124</v>
      </c>
      <c r="C10" s="2" t="s">
        <v>125</v>
      </c>
      <c r="D10" s="2" t="s">
        <v>126</v>
      </c>
      <c r="E10" s="3" t="n">
        <v>120000</v>
      </c>
      <c r="F10" s="2" t="s">
        <v>127</v>
      </c>
      <c r="G10" s="2" t="s">
        <v>128</v>
      </c>
      <c r="H10" s="2" t="s">
        <v>129</v>
      </c>
      <c r="I10" s="2" t="s">
        <v>130</v>
      </c>
      <c r="J10" s="2" t="s">
        <v>131</v>
      </c>
      <c r="K10" s="2" t="s">
        <v>72</v>
      </c>
      <c r="L10" s="2" t="s">
        <v>85</v>
      </c>
      <c r="M10" s="2" t="s">
        <v>45</v>
      </c>
      <c r="N10" s="2" t="s">
        <v>108</v>
      </c>
      <c r="O10" s="2" t="s">
        <v>109</v>
      </c>
      <c r="P10" s="2" t="n">
        <v>36</v>
      </c>
      <c r="Q10" s="7" t="s">
        <v>110</v>
      </c>
      <c r="R10" s="2" t="s">
        <v>132</v>
      </c>
      <c r="S10" s="2" t="s">
        <v>133</v>
      </c>
    </row>
    <row r="11" customFormat="false" ht="72" hidden="false" customHeight="true" outlineLevel="0" collapsed="false">
      <c r="A11" s="5" t="n">
        <v>10</v>
      </c>
      <c r="B11" s="5" t="s">
        <v>134</v>
      </c>
      <c r="C11" s="5" t="s">
        <v>135</v>
      </c>
      <c r="D11" s="5" t="s">
        <v>136</v>
      </c>
      <c r="E11" s="6" t="n">
        <v>75000</v>
      </c>
      <c r="F11" s="5" t="s">
        <v>137</v>
      </c>
      <c r="G11" s="5" t="s">
        <v>138</v>
      </c>
      <c r="H11" s="5" t="s">
        <v>139</v>
      </c>
      <c r="I11" s="5" t="s">
        <v>140</v>
      </c>
      <c r="J11" s="5" t="s">
        <v>141</v>
      </c>
      <c r="K11" s="5" t="s">
        <v>29</v>
      </c>
      <c r="L11" s="5" t="s">
        <v>142</v>
      </c>
      <c r="M11" s="5" t="s">
        <v>60</v>
      </c>
      <c r="N11" s="5" t="s">
        <v>143</v>
      </c>
      <c r="O11" s="5" t="s">
        <v>144</v>
      </c>
      <c r="P11" s="5" t="n">
        <v>24</v>
      </c>
      <c r="Q11" s="7" t="s">
        <v>110</v>
      </c>
      <c r="R11" s="5" t="s">
        <v>145</v>
      </c>
      <c r="S11" s="5" t="s">
        <v>146</v>
      </c>
    </row>
    <row r="12" customFormat="false" ht="72" hidden="false" customHeight="true" outlineLevel="0" collapsed="false">
      <c r="A12" s="2" t="n">
        <v>11</v>
      </c>
      <c r="B12" s="2" t="s">
        <v>147</v>
      </c>
      <c r="C12" s="2" t="s">
        <v>148</v>
      </c>
      <c r="D12" s="2" t="s">
        <v>149</v>
      </c>
      <c r="E12" s="3" t="n">
        <v>200000</v>
      </c>
      <c r="F12" s="2" t="s">
        <v>150</v>
      </c>
      <c r="G12" s="2" t="s">
        <v>151</v>
      </c>
      <c r="H12" s="2" t="s">
        <v>152</v>
      </c>
      <c r="I12" s="2" t="s">
        <v>153</v>
      </c>
      <c r="J12" s="2" t="s">
        <v>154</v>
      </c>
      <c r="K12" s="2" t="s">
        <v>42</v>
      </c>
      <c r="L12" s="2" t="s">
        <v>84</v>
      </c>
      <c r="M12" s="2" t="s">
        <v>59</v>
      </c>
      <c r="N12" s="2" t="s">
        <v>108</v>
      </c>
      <c r="O12" s="2" t="s">
        <v>109</v>
      </c>
      <c r="P12" s="2" t="n">
        <v>36</v>
      </c>
      <c r="Q12" s="4" t="s">
        <v>32</v>
      </c>
      <c r="R12" s="2" t="s">
        <v>155</v>
      </c>
      <c r="S12" s="2" t="s">
        <v>156</v>
      </c>
    </row>
    <row r="13" customFormat="false" ht="72" hidden="false" customHeight="true" outlineLevel="0" collapsed="false">
      <c r="A13" s="5" t="n">
        <v>12</v>
      </c>
      <c r="B13" s="5" t="s">
        <v>157</v>
      </c>
      <c r="C13" s="5" t="s">
        <v>158</v>
      </c>
      <c r="D13" s="5" t="s">
        <v>159</v>
      </c>
      <c r="E13" s="6" t="n">
        <v>300000</v>
      </c>
      <c r="F13" s="5" t="s">
        <v>160</v>
      </c>
      <c r="G13" s="5" t="s">
        <v>161</v>
      </c>
      <c r="H13" s="5" t="s">
        <v>162</v>
      </c>
      <c r="I13" s="5" t="s">
        <v>163</v>
      </c>
      <c r="J13" s="5" t="s">
        <v>164</v>
      </c>
      <c r="K13" s="5" t="s">
        <v>57</v>
      </c>
      <c r="L13" s="5" t="s">
        <v>29</v>
      </c>
      <c r="M13" s="5" t="s">
        <v>165</v>
      </c>
      <c r="N13" s="5" t="s">
        <v>108</v>
      </c>
      <c r="O13" s="5" t="s">
        <v>166</v>
      </c>
      <c r="P13" s="5" t="n">
        <v>48</v>
      </c>
      <c r="Q13" s="4" t="s">
        <v>32</v>
      </c>
      <c r="R13" s="5" t="s">
        <v>167</v>
      </c>
      <c r="S13" s="5" t="s">
        <v>168</v>
      </c>
    </row>
    <row r="14" customFormat="false" ht="72" hidden="false" customHeight="true" outlineLevel="0" collapsed="false">
      <c r="A14" s="2" t="n">
        <v>13</v>
      </c>
      <c r="B14" s="2" t="s">
        <v>169</v>
      </c>
      <c r="C14" s="2" t="s">
        <v>170</v>
      </c>
      <c r="D14" s="2" t="s">
        <v>171</v>
      </c>
      <c r="E14" s="3" t="n">
        <v>75000</v>
      </c>
      <c r="F14" s="2" t="s">
        <v>172</v>
      </c>
      <c r="G14" s="2" t="s">
        <v>173</v>
      </c>
      <c r="H14" s="2" t="s">
        <v>174</v>
      </c>
      <c r="I14" s="2" t="s">
        <v>175</v>
      </c>
      <c r="J14" s="2" t="s">
        <v>176</v>
      </c>
      <c r="K14" s="2" t="s">
        <v>177</v>
      </c>
      <c r="L14" s="2" t="s">
        <v>178</v>
      </c>
      <c r="M14" s="2" t="s">
        <v>85</v>
      </c>
      <c r="N14" s="2" t="s">
        <v>45</v>
      </c>
      <c r="O14" s="2" t="s">
        <v>179</v>
      </c>
      <c r="P14" s="2" t="n">
        <v>36</v>
      </c>
      <c r="Q14" s="4" t="s">
        <v>32</v>
      </c>
      <c r="R14" s="2" t="s">
        <v>180</v>
      </c>
      <c r="S14" s="2" t="s">
        <v>181</v>
      </c>
    </row>
    <row r="15" customFormat="false" ht="72" hidden="false" customHeight="true" outlineLevel="0" collapsed="false">
      <c r="A15" s="5" t="n">
        <v>14</v>
      </c>
      <c r="B15" s="5" t="s">
        <v>182</v>
      </c>
      <c r="C15" s="5" t="s">
        <v>183</v>
      </c>
      <c r="D15" s="5" t="s">
        <v>184</v>
      </c>
      <c r="E15" s="6" t="n">
        <v>1500000</v>
      </c>
      <c r="F15" s="5" t="s">
        <v>185</v>
      </c>
      <c r="G15" s="5" t="s">
        <v>186</v>
      </c>
      <c r="H15" s="5" t="s">
        <v>187</v>
      </c>
      <c r="I15" s="5" t="s">
        <v>188</v>
      </c>
      <c r="J15" s="5" t="s">
        <v>164</v>
      </c>
      <c r="K15" s="5" t="s">
        <v>189</v>
      </c>
      <c r="L15" s="5" t="s">
        <v>190</v>
      </c>
      <c r="M15" s="5" t="s">
        <v>97</v>
      </c>
      <c r="N15" s="5" t="s">
        <v>108</v>
      </c>
      <c r="O15" s="5" t="s">
        <v>191</v>
      </c>
      <c r="P15" s="5" t="n">
        <v>72</v>
      </c>
      <c r="Q15" s="4" t="s">
        <v>32</v>
      </c>
      <c r="R15" s="5" t="s">
        <v>192</v>
      </c>
      <c r="S15" s="5" t="s">
        <v>193</v>
      </c>
    </row>
    <row r="16" customFormat="false" ht="72" hidden="false" customHeight="true" outlineLevel="0" collapsed="false">
      <c r="A16" s="2" t="n">
        <v>15</v>
      </c>
      <c r="B16" s="2" t="s">
        <v>194</v>
      </c>
      <c r="C16" s="2" t="s">
        <v>195</v>
      </c>
      <c r="D16" s="2" t="s">
        <v>149</v>
      </c>
      <c r="E16" s="3" t="n">
        <v>5000000</v>
      </c>
      <c r="F16" s="2" t="s">
        <v>196</v>
      </c>
      <c r="G16" s="2" t="s">
        <v>197</v>
      </c>
      <c r="H16" s="2" t="s">
        <v>198</v>
      </c>
      <c r="I16" s="2" t="s">
        <v>199</v>
      </c>
      <c r="J16" s="2" t="s">
        <v>164</v>
      </c>
      <c r="K16" s="2" t="s">
        <v>29</v>
      </c>
      <c r="L16" s="2" t="s">
        <v>30</v>
      </c>
      <c r="M16" s="2" t="s">
        <v>200</v>
      </c>
      <c r="N16" s="2" t="s">
        <v>201</v>
      </c>
      <c r="O16" s="2" t="s">
        <v>202</v>
      </c>
      <c r="P16" s="2" t="n">
        <v>60</v>
      </c>
      <c r="Q16" s="7" t="s">
        <v>110</v>
      </c>
      <c r="R16" s="2" t="s">
        <v>203</v>
      </c>
      <c r="S16" s="2" t="s">
        <v>204</v>
      </c>
    </row>
    <row r="17" customFormat="false" ht="72" hidden="false" customHeight="true" outlineLevel="0" collapsed="false">
      <c r="A17" s="5" t="n">
        <v>16</v>
      </c>
      <c r="B17" s="5" t="s">
        <v>205</v>
      </c>
      <c r="C17" s="5" t="s">
        <v>206</v>
      </c>
      <c r="D17" s="5" t="s">
        <v>207</v>
      </c>
      <c r="E17" s="6" t="n">
        <v>2000000</v>
      </c>
      <c r="F17" s="5" t="s">
        <v>208</v>
      </c>
      <c r="G17" s="5" t="s">
        <v>209</v>
      </c>
      <c r="H17" s="5" t="s">
        <v>210</v>
      </c>
      <c r="I17" s="5" t="s">
        <v>211</v>
      </c>
      <c r="J17" s="5" t="s">
        <v>176</v>
      </c>
      <c r="K17" s="5" t="s">
        <v>212</v>
      </c>
      <c r="L17" s="5" t="s">
        <v>213</v>
      </c>
      <c r="M17" s="5" t="s">
        <v>30</v>
      </c>
      <c r="N17" s="5" t="s">
        <v>108</v>
      </c>
      <c r="O17" s="5" t="s">
        <v>191</v>
      </c>
      <c r="P17" s="5" t="n">
        <v>72</v>
      </c>
      <c r="Q17" s="4" t="s">
        <v>32</v>
      </c>
      <c r="R17" s="5" t="s">
        <v>214</v>
      </c>
      <c r="S17" s="5" t="s">
        <v>215</v>
      </c>
    </row>
    <row r="18" customFormat="false" ht="72" hidden="false" customHeight="true" outlineLevel="0" collapsed="false">
      <c r="A18" s="2" t="n">
        <v>17</v>
      </c>
      <c r="B18" s="2" t="s">
        <v>216</v>
      </c>
      <c r="C18" s="2" t="s">
        <v>217</v>
      </c>
      <c r="D18" s="2" t="s">
        <v>218</v>
      </c>
      <c r="E18" s="3" t="n">
        <v>300000</v>
      </c>
      <c r="F18" s="2" t="s">
        <v>219</v>
      </c>
      <c r="G18" s="2" t="s">
        <v>220</v>
      </c>
      <c r="H18" s="2" t="s">
        <v>221</v>
      </c>
      <c r="I18" s="2" t="s">
        <v>222</v>
      </c>
      <c r="J18" s="2" t="s">
        <v>223</v>
      </c>
      <c r="K18" s="2" t="s">
        <v>224</v>
      </c>
      <c r="L18" s="2" t="s">
        <v>225</v>
      </c>
      <c r="M18" s="2" t="s">
        <v>30</v>
      </c>
      <c r="N18" s="2" t="s">
        <v>108</v>
      </c>
      <c r="O18" s="2" t="s">
        <v>166</v>
      </c>
      <c r="P18" s="2" t="n">
        <v>48</v>
      </c>
      <c r="Q18" s="4" t="s">
        <v>32</v>
      </c>
      <c r="R18" s="2" t="s">
        <v>226</v>
      </c>
      <c r="S18" s="2" t="s">
        <v>227</v>
      </c>
    </row>
    <row r="19" customFormat="false" ht="72" hidden="false" customHeight="true" outlineLevel="0" collapsed="false">
      <c r="A19" s="5" t="n">
        <v>18</v>
      </c>
      <c r="B19" s="5" t="s">
        <v>228</v>
      </c>
      <c r="C19" s="5" t="s">
        <v>229</v>
      </c>
      <c r="D19" s="5" t="s">
        <v>230</v>
      </c>
      <c r="E19" s="6" t="n">
        <v>3000000</v>
      </c>
      <c r="F19" s="5" t="s">
        <v>231</v>
      </c>
      <c r="G19" s="5" t="s">
        <v>232</v>
      </c>
      <c r="H19" s="5" t="s">
        <v>233</v>
      </c>
      <c r="I19" s="5" t="s">
        <v>234</v>
      </c>
      <c r="J19" s="5" t="s">
        <v>235</v>
      </c>
      <c r="K19" s="5" t="s">
        <v>57</v>
      </c>
      <c r="L19" s="5" t="s">
        <v>73</v>
      </c>
      <c r="M19" s="5" t="s">
        <v>60</v>
      </c>
      <c r="N19" s="5" t="s">
        <v>236</v>
      </c>
      <c r="O19" s="5" t="s">
        <v>237</v>
      </c>
      <c r="P19" s="5" t="n">
        <v>48</v>
      </c>
      <c r="Q19" s="4" t="s">
        <v>32</v>
      </c>
      <c r="R19" s="5" t="s">
        <v>238</v>
      </c>
      <c r="S19" s="5" t="s">
        <v>239</v>
      </c>
    </row>
    <row r="20" customFormat="false" ht="72" hidden="false" customHeight="true" outlineLevel="0" collapsed="false">
      <c r="A20" s="2" t="n">
        <v>19</v>
      </c>
      <c r="B20" s="2" t="s">
        <v>240</v>
      </c>
      <c r="C20" s="2" t="s">
        <v>241</v>
      </c>
      <c r="D20" s="2" t="s">
        <v>242</v>
      </c>
      <c r="E20" s="3" t="n">
        <v>250000</v>
      </c>
      <c r="F20" s="2" t="s">
        <v>243</v>
      </c>
      <c r="G20" s="2" t="s">
        <v>244</v>
      </c>
      <c r="H20" s="2" t="s">
        <v>245</v>
      </c>
      <c r="I20" s="2" t="s">
        <v>246</v>
      </c>
      <c r="J20" s="2" t="s">
        <v>247</v>
      </c>
      <c r="K20" s="2" t="s">
        <v>72</v>
      </c>
      <c r="L20" s="2" t="s">
        <v>73</v>
      </c>
      <c r="M20" s="2" t="s">
        <v>165</v>
      </c>
      <c r="N20" s="2" t="s">
        <v>248</v>
      </c>
      <c r="O20" s="2" t="s">
        <v>249</v>
      </c>
      <c r="P20" s="2" t="n">
        <v>36</v>
      </c>
      <c r="Q20" s="4" t="s">
        <v>32</v>
      </c>
      <c r="R20" s="2" t="s">
        <v>250</v>
      </c>
      <c r="S20" s="2" t="s">
        <v>251</v>
      </c>
    </row>
    <row r="21" customFormat="false" ht="72" hidden="false" customHeight="true" outlineLevel="0" collapsed="false">
      <c r="A21" s="5" t="n">
        <v>20</v>
      </c>
      <c r="B21" s="5" t="s">
        <v>252</v>
      </c>
      <c r="C21" s="5" t="s">
        <v>253</v>
      </c>
      <c r="D21" s="5" t="s">
        <v>254</v>
      </c>
      <c r="E21" s="6" t="n">
        <v>500000</v>
      </c>
      <c r="F21" s="5" t="s">
        <v>255</v>
      </c>
      <c r="G21" s="5" t="s">
        <v>256</v>
      </c>
      <c r="H21" s="5" t="s">
        <v>257</v>
      </c>
      <c r="I21" s="5" t="s">
        <v>258</v>
      </c>
      <c r="J21" s="5" t="s">
        <v>176</v>
      </c>
      <c r="K21" s="5" t="s">
        <v>84</v>
      </c>
      <c r="L21" s="5" t="s">
        <v>97</v>
      </c>
      <c r="M21" s="5" t="s">
        <v>259</v>
      </c>
      <c r="N21" s="5" t="s">
        <v>260</v>
      </c>
      <c r="O21" s="5" t="s">
        <v>261</v>
      </c>
      <c r="P21" s="5" t="n">
        <v>36</v>
      </c>
      <c r="Q21" s="7" t="s">
        <v>110</v>
      </c>
      <c r="R21" s="5" t="s">
        <v>262</v>
      </c>
      <c r="S21" s="5" t="s">
        <v>263</v>
      </c>
    </row>
    <row r="22" customFormat="false" ht="72" hidden="false" customHeight="true" outlineLevel="0" collapsed="false">
      <c r="A22" s="2" t="n">
        <v>21</v>
      </c>
      <c r="B22" s="2" t="s">
        <v>264</v>
      </c>
      <c r="C22" s="2" t="s">
        <v>265</v>
      </c>
      <c r="D22" s="2" t="s">
        <v>266</v>
      </c>
      <c r="E22" s="3" t="n">
        <v>1000000</v>
      </c>
      <c r="F22" s="2" t="s">
        <v>267</v>
      </c>
      <c r="G22" s="2" t="s">
        <v>268</v>
      </c>
      <c r="H22" s="2" t="s">
        <v>269</v>
      </c>
      <c r="I22" s="2" t="s">
        <v>270</v>
      </c>
      <c r="J22" s="2" t="s">
        <v>271</v>
      </c>
      <c r="K22" s="2" t="s">
        <v>57</v>
      </c>
      <c r="L22" s="2" t="s">
        <v>73</v>
      </c>
      <c r="M22" s="2" t="s">
        <v>272</v>
      </c>
      <c r="N22" s="2" t="s">
        <v>260</v>
      </c>
      <c r="O22" s="2" t="s">
        <v>261</v>
      </c>
      <c r="P22" s="2" t="n">
        <v>36</v>
      </c>
      <c r="Q22" s="4" t="s">
        <v>32</v>
      </c>
      <c r="R22" s="2" t="s">
        <v>273</v>
      </c>
      <c r="S22" s="2" t="s">
        <v>274</v>
      </c>
    </row>
    <row r="23" customFormat="false" ht="72" hidden="false" customHeight="true" outlineLevel="0" collapsed="false">
      <c r="A23" s="5" t="n">
        <v>22</v>
      </c>
      <c r="B23" s="5" t="s">
        <v>275</v>
      </c>
      <c r="C23" s="5" t="s">
        <v>206</v>
      </c>
      <c r="D23" s="5" t="s">
        <v>207</v>
      </c>
      <c r="E23" s="6" t="n">
        <v>500000</v>
      </c>
      <c r="F23" s="5" t="s">
        <v>276</v>
      </c>
      <c r="G23" s="5" t="s">
        <v>277</v>
      </c>
      <c r="H23" s="5" t="s">
        <v>278</v>
      </c>
      <c r="I23" s="5" t="s">
        <v>279</v>
      </c>
      <c r="J23" s="5" t="s">
        <v>280</v>
      </c>
      <c r="K23" s="5" t="s">
        <v>27</v>
      </c>
      <c r="L23" s="5" t="s">
        <v>96</v>
      </c>
      <c r="M23" s="5" t="s">
        <v>97</v>
      </c>
      <c r="N23" s="5" t="s">
        <v>60</v>
      </c>
      <c r="O23" s="5" t="s">
        <v>281</v>
      </c>
      <c r="P23" s="5" t="n">
        <v>72</v>
      </c>
      <c r="Q23" s="4" t="s">
        <v>32</v>
      </c>
      <c r="R23" s="5" t="s">
        <v>282</v>
      </c>
      <c r="S23" s="5" t="s">
        <v>283</v>
      </c>
    </row>
    <row r="24" customFormat="false" ht="72" hidden="false" customHeight="true" outlineLevel="0" collapsed="false">
      <c r="A24" s="2" t="n">
        <v>23</v>
      </c>
      <c r="B24" s="2" t="s">
        <v>284</v>
      </c>
      <c r="C24" s="2" t="s">
        <v>285</v>
      </c>
      <c r="D24" s="2" t="s">
        <v>286</v>
      </c>
      <c r="E24" s="3" t="n">
        <v>150000</v>
      </c>
      <c r="F24" s="2" t="s">
        <v>287</v>
      </c>
      <c r="G24" s="2" t="s">
        <v>288</v>
      </c>
      <c r="H24" s="2" t="s">
        <v>289</v>
      </c>
      <c r="I24" s="2" t="s">
        <v>290</v>
      </c>
      <c r="J24" s="2" t="s">
        <v>291</v>
      </c>
      <c r="K24" s="2" t="s">
        <v>42</v>
      </c>
      <c r="L24" s="2" t="s">
        <v>43</v>
      </c>
      <c r="M24" s="2" t="s">
        <v>97</v>
      </c>
      <c r="N24" s="2" t="s">
        <v>60</v>
      </c>
      <c r="O24" s="2" t="s">
        <v>292</v>
      </c>
      <c r="P24" s="2" t="n">
        <v>36</v>
      </c>
      <c r="Q24" s="4" t="s">
        <v>32</v>
      </c>
      <c r="R24" s="2" t="s">
        <v>293</v>
      </c>
      <c r="S24" s="2" t="s">
        <v>294</v>
      </c>
    </row>
    <row r="25" customFormat="false" ht="72" hidden="false" customHeight="true" outlineLevel="0" collapsed="false">
      <c r="A25" s="5" t="n">
        <v>24</v>
      </c>
      <c r="B25" s="5" t="s">
        <v>295</v>
      </c>
      <c r="C25" s="5" t="s">
        <v>217</v>
      </c>
      <c r="D25" s="5" t="s">
        <v>218</v>
      </c>
      <c r="E25" s="6" t="n">
        <v>60000</v>
      </c>
      <c r="F25" s="5" t="s">
        <v>296</v>
      </c>
      <c r="G25" s="5" t="s">
        <v>297</v>
      </c>
      <c r="H25" s="5" t="s">
        <v>298</v>
      </c>
      <c r="I25" s="5" t="s">
        <v>299</v>
      </c>
      <c r="J25" s="5" t="s">
        <v>280</v>
      </c>
      <c r="K25" s="5" t="s">
        <v>42</v>
      </c>
      <c r="L25" s="5" t="s">
        <v>84</v>
      </c>
      <c r="M25" s="5" t="s">
        <v>59</v>
      </c>
      <c r="N25" s="5" t="s">
        <v>45</v>
      </c>
      <c r="O25" s="5" t="s">
        <v>46</v>
      </c>
      <c r="P25" s="5" t="n">
        <v>24</v>
      </c>
      <c r="Q25" s="4" t="s">
        <v>32</v>
      </c>
      <c r="R25" s="5" t="s">
        <v>300</v>
      </c>
      <c r="S25" s="5" t="s">
        <v>301</v>
      </c>
    </row>
    <row r="26" customFormat="false" ht="72" hidden="false" customHeight="true" outlineLevel="0" collapsed="false">
      <c r="A26" s="2" t="n">
        <v>25</v>
      </c>
      <c r="B26" s="2" t="s">
        <v>302</v>
      </c>
      <c r="C26" s="2" t="s">
        <v>303</v>
      </c>
      <c r="D26" s="2" t="s">
        <v>304</v>
      </c>
      <c r="E26" s="3" t="n">
        <v>2000000</v>
      </c>
      <c r="F26" s="2" t="s">
        <v>305</v>
      </c>
      <c r="G26" s="2" t="s">
        <v>306</v>
      </c>
      <c r="H26" s="2" t="s">
        <v>307</v>
      </c>
      <c r="I26" s="2" t="s">
        <v>308</v>
      </c>
      <c r="J26" s="2" t="s">
        <v>309</v>
      </c>
      <c r="K26" s="2" t="s">
        <v>29</v>
      </c>
      <c r="L26" s="2" t="s">
        <v>310</v>
      </c>
      <c r="M26" s="2" t="s">
        <v>200</v>
      </c>
      <c r="N26" s="2" t="s">
        <v>311</v>
      </c>
      <c r="O26" s="2" t="s">
        <v>312</v>
      </c>
      <c r="P26" s="2" t="n">
        <v>48</v>
      </c>
      <c r="Q26" s="7" t="s">
        <v>110</v>
      </c>
      <c r="R26" s="2" t="s">
        <v>313</v>
      </c>
      <c r="S26" s="2" t="s">
        <v>314</v>
      </c>
    </row>
    <row r="27" customFormat="false" ht="72" hidden="false" customHeight="true" outlineLevel="0" collapsed="false">
      <c r="A27" s="5" t="n">
        <v>26</v>
      </c>
      <c r="B27" s="5" t="s">
        <v>315</v>
      </c>
      <c r="C27" s="5" t="s">
        <v>316</v>
      </c>
      <c r="D27" s="5" t="s">
        <v>304</v>
      </c>
      <c r="E27" s="6" t="n">
        <v>1000000</v>
      </c>
      <c r="F27" s="5" t="s">
        <v>317</v>
      </c>
      <c r="G27" s="5" t="s">
        <v>318</v>
      </c>
      <c r="H27" s="5" t="s">
        <v>319</v>
      </c>
      <c r="I27" s="5" t="s">
        <v>320</v>
      </c>
      <c r="J27" s="5" t="s">
        <v>321</v>
      </c>
      <c r="K27" s="5" t="s">
        <v>72</v>
      </c>
      <c r="L27" s="5" t="s">
        <v>85</v>
      </c>
      <c r="M27" s="5" t="s">
        <v>60</v>
      </c>
      <c r="N27" s="5" t="s">
        <v>322</v>
      </c>
      <c r="O27" s="5" t="s">
        <v>323</v>
      </c>
      <c r="P27" s="5" t="n">
        <v>36</v>
      </c>
      <c r="Q27" s="7" t="s">
        <v>110</v>
      </c>
      <c r="R27" s="5" t="s">
        <v>324</v>
      </c>
      <c r="S27" s="5" t="s">
        <v>325</v>
      </c>
    </row>
    <row r="28" customFormat="false" ht="72" hidden="false" customHeight="true" outlineLevel="0" collapsed="false">
      <c r="A28" s="2" t="n">
        <v>27</v>
      </c>
      <c r="B28" s="2" t="s">
        <v>326</v>
      </c>
      <c r="C28" s="2" t="s">
        <v>327</v>
      </c>
      <c r="D28" s="2" t="s">
        <v>328</v>
      </c>
      <c r="E28" s="3" t="n">
        <v>100000</v>
      </c>
      <c r="F28" s="2" t="s">
        <v>329</v>
      </c>
      <c r="G28" s="2" t="s">
        <v>330</v>
      </c>
      <c r="H28" s="2" t="s">
        <v>331</v>
      </c>
      <c r="I28" s="2" t="s">
        <v>332</v>
      </c>
      <c r="J28" s="2" t="s">
        <v>333</v>
      </c>
      <c r="K28" s="2" t="s">
        <v>334</v>
      </c>
      <c r="L28" s="2" t="s">
        <v>28</v>
      </c>
      <c r="M28" s="2" t="s">
        <v>335</v>
      </c>
      <c r="N28" s="2" t="s">
        <v>30</v>
      </c>
      <c r="O28" s="2" t="s">
        <v>31</v>
      </c>
      <c r="P28" s="2" t="n">
        <v>24</v>
      </c>
      <c r="Q28" s="4" t="s">
        <v>32</v>
      </c>
      <c r="R28" s="2" t="s">
        <v>336</v>
      </c>
      <c r="S28" s="2" t="s">
        <v>337</v>
      </c>
    </row>
    <row r="29" customFormat="false" ht="72" hidden="false" customHeight="true" outlineLevel="0" collapsed="false">
      <c r="A29" s="5" t="n">
        <v>28</v>
      </c>
      <c r="B29" s="5" t="s">
        <v>338</v>
      </c>
      <c r="C29" s="5" t="s">
        <v>339</v>
      </c>
      <c r="D29" s="5" t="s">
        <v>328</v>
      </c>
      <c r="E29" s="6" t="n">
        <v>500000</v>
      </c>
      <c r="F29" s="5" t="s">
        <v>340</v>
      </c>
      <c r="G29" s="5" t="s">
        <v>341</v>
      </c>
      <c r="H29" s="5" t="s">
        <v>342</v>
      </c>
      <c r="I29" s="5" t="s">
        <v>343</v>
      </c>
      <c r="J29" s="5" t="s">
        <v>280</v>
      </c>
      <c r="K29" s="5" t="s">
        <v>57</v>
      </c>
      <c r="L29" s="5" t="s">
        <v>29</v>
      </c>
      <c r="M29" s="5" t="s">
        <v>165</v>
      </c>
      <c r="N29" s="5" t="s">
        <v>108</v>
      </c>
      <c r="O29" s="5" t="s">
        <v>166</v>
      </c>
      <c r="P29" s="5" t="n">
        <v>48</v>
      </c>
      <c r="Q29" s="4" t="s">
        <v>32</v>
      </c>
      <c r="R29" s="5" t="s">
        <v>344</v>
      </c>
      <c r="S29" s="5" t="s">
        <v>345</v>
      </c>
    </row>
    <row r="30" customFormat="false" ht="72" hidden="false" customHeight="true" outlineLevel="0" collapsed="false">
      <c r="A30" s="2" t="n">
        <v>29</v>
      </c>
      <c r="B30" s="2" t="s">
        <v>346</v>
      </c>
      <c r="C30" s="2" t="s">
        <v>347</v>
      </c>
      <c r="D30" s="2" t="s">
        <v>328</v>
      </c>
      <c r="E30" s="3" t="n">
        <v>300000</v>
      </c>
      <c r="F30" s="2" t="s">
        <v>348</v>
      </c>
      <c r="G30" s="2" t="s">
        <v>349</v>
      </c>
      <c r="H30" s="2" t="s">
        <v>350</v>
      </c>
      <c r="I30" s="2" t="s">
        <v>351</v>
      </c>
      <c r="J30" s="2" t="s">
        <v>352</v>
      </c>
      <c r="K30" s="2" t="s">
        <v>84</v>
      </c>
      <c r="L30" s="2" t="s">
        <v>59</v>
      </c>
      <c r="M30" s="2" t="s">
        <v>248</v>
      </c>
      <c r="N30" s="2" t="s">
        <v>322</v>
      </c>
      <c r="O30" s="2" t="s">
        <v>353</v>
      </c>
      <c r="P30" s="2" t="n">
        <v>24</v>
      </c>
      <c r="Q30" s="7" t="s">
        <v>110</v>
      </c>
      <c r="R30" s="2" t="s">
        <v>354</v>
      </c>
      <c r="S30" s="2" t="s">
        <v>355</v>
      </c>
    </row>
    <row r="31" customFormat="false" ht="72" hidden="false" customHeight="true" outlineLevel="0" collapsed="false">
      <c r="A31" s="5" t="n">
        <v>30</v>
      </c>
      <c r="B31" s="5" t="s">
        <v>356</v>
      </c>
      <c r="C31" s="5" t="s">
        <v>357</v>
      </c>
      <c r="D31" s="5" t="s">
        <v>358</v>
      </c>
      <c r="E31" s="6" t="n">
        <v>50000</v>
      </c>
      <c r="F31" s="5" t="s">
        <v>359</v>
      </c>
      <c r="G31" s="5" t="s">
        <v>360</v>
      </c>
      <c r="H31" s="5" t="s">
        <v>361</v>
      </c>
      <c r="I31" s="5" t="s">
        <v>362</v>
      </c>
      <c r="J31" s="5" t="s">
        <v>363</v>
      </c>
      <c r="K31" s="5" t="s">
        <v>177</v>
      </c>
      <c r="L31" s="5" t="s">
        <v>28</v>
      </c>
      <c r="M31" s="5" t="s">
        <v>85</v>
      </c>
      <c r="N31" s="5" t="s">
        <v>45</v>
      </c>
      <c r="O31" s="5" t="s">
        <v>46</v>
      </c>
      <c r="P31" s="5" t="n">
        <v>24</v>
      </c>
      <c r="Q31" s="8" t="s">
        <v>121</v>
      </c>
      <c r="R31" s="5" t="s">
        <v>364</v>
      </c>
      <c r="S31" s="5" t="s">
        <v>365</v>
      </c>
    </row>
    <row r="32" customFormat="false" ht="72" hidden="false" customHeight="true" outlineLevel="0" collapsed="false">
      <c r="A32" s="2" t="n">
        <v>31</v>
      </c>
      <c r="B32" s="2" t="s">
        <v>366</v>
      </c>
      <c r="C32" s="2" t="s">
        <v>367</v>
      </c>
      <c r="D32" s="2" t="s">
        <v>304</v>
      </c>
      <c r="E32" s="3" t="n">
        <v>200000</v>
      </c>
      <c r="F32" s="2" t="s">
        <v>368</v>
      </c>
      <c r="G32" s="2" t="s">
        <v>369</v>
      </c>
      <c r="H32" s="2" t="s">
        <v>370</v>
      </c>
      <c r="I32" s="2" t="s">
        <v>371</v>
      </c>
      <c r="J32" s="2" t="s">
        <v>280</v>
      </c>
      <c r="K32" s="2" t="s">
        <v>72</v>
      </c>
      <c r="L32" s="2" t="s">
        <v>44</v>
      </c>
      <c r="M32" s="2" t="s">
        <v>272</v>
      </c>
      <c r="N32" s="2" t="s">
        <v>260</v>
      </c>
      <c r="O32" s="2" t="s">
        <v>261</v>
      </c>
      <c r="P32" s="2" t="n">
        <v>36</v>
      </c>
      <c r="Q32" s="7" t="s">
        <v>110</v>
      </c>
      <c r="R32" s="2" t="s">
        <v>372</v>
      </c>
      <c r="S32" s="2" t="s">
        <v>373</v>
      </c>
    </row>
    <row r="33" customFormat="false" ht="72" hidden="false" customHeight="true" outlineLevel="0" collapsed="false">
      <c r="A33" s="5" t="n">
        <v>32</v>
      </c>
      <c r="B33" s="5" t="s">
        <v>374</v>
      </c>
      <c r="C33" s="5" t="s">
        <v>375</v>
      </c>
      <c r="D33" s="5" t="s">
        <v>328</v>
      </c>
      <c r="E33" s="6" t="n">
        <v>250000</v>
      </c>
      <c r="F33" s="5" t="s">
        <v>376</v>
      </c>
      <c r="G33" s="5" t="s">
        <v>377</v>
      </c>
      <c r="H33" s="5" t="s">
        <v>378</v>
      </c>
      <c r="I33" s="5" t="s">
        <v>379</v>
      </c>
      <c r="J33" s="5" t="s">
        <v>380</v>
      </c>
      <c r="K33" s="5" t="s">
        <v>83</v>
      </c>
      <c r="L33" s="5" t="s">
        <v>335</v>
      </c>
      <c r="M33" s="5" t="s">
        <v>165</v>
      </c>
      <c r="N33" s="5" t="s">
        <v>248</v>
      </c>
      <c r="O33" s="5" t="s">
        <v>249</v>
      </c>
      <c r="P33" s="5" t="n">
        <v>36</v>
      </c>
      <c r="Q33" s="4" t="s">
        <v>32</v>
      </c>
      <c r="R33" s="5" t="s">
        <v>381</v>
      </c>
      <c r="S33" s="5" t="s">
        <v>382</v>
      </c>
    </row>
    <row r="34" customFormat="false" ht="72" hidden="false" customHeight="true" outlineLevel="0" collapsed="false">
      <c r="A34" s="2" t="n">
        <v>33</v>
      </c>
      <c r="B34" s="2" t="s">
        <v>383</v>
      </c>
      <c r="C34" s="2" t="s">
        <v>384</v>
      </c>
      <c r="D34" s="2" t="s">
        <v>385</v>
      </c>
      <c r="E34" s="3" t="n">
        <v>400000</v>
      </c>
      <c r="F34" s="2" t="s">
        <v>386</v>
      </c>
      <c r="G34" s="2" t="s">
        <v>387</v>
      </c>
      <c r="H34" s="2" t="s">
        <v>388</v>
      </c>
      <c r="I34" s="2" t="s">
        <v>389</v>
      </c>
      <c r="J34" s="2" t="s">
        <v>390</v>
      </c>
      <c r="K34" s="2" t="s">
        <v>29</v>
      </c>
      <c r="L34" s="2" t="s">
        <v>30</v>
      </c>
      <c r="M34" s="2" t="s">
        <v>391</v>
      </c>
      <c r="N34" s="2" t="s">
        <v>322</v>
      </c>
      <c r="O34" s="2" t="s">
        <v>323</v>
      </c>
      <c r="P34" s="2" t="n">
        <v>36</v>
      </c>
      <c r="Q34" s="7" t="s">
        <v>110</v>
      </c>
      <c r="R34" s="2" t="s">
        <v>392</v>
      </c>
      <c r="S34" s="2" t="s">
        <v>393</v>
      </c>
    </row>
    <row r="35" customFormat="false" ht="72" hidden="false" customHeight="true" outlineLevel="0" collapsed="false">
      <c r="A35" s="5" t="n">
        <v>34</v>
      </c>
      <c r="B35" s="5" t="s">
        <v>394</v>
      </c>
      <c r="C35" s="5" t="s">
        <v>395</v>
      </c>
      <c r="D35" s="5" t="s">
        <v>396</v>
      </c>
      <c r="E35" s="6" t="n">
        <v>500000</v>
      </c>
      <c r="F35" s="5" t="s">
        <v>397</v>
      </c>
      <c r="G35" s="5" t="s">
        <v>398</v>
      </c>
      <c r="H35" s="5" t="s">
        <v>399</v>
      </c>
      <c r="I35" s="5" t="s">
        <v>400</v>
      </c>
      <c r="J35" s="5" t="s">
        <v>401</v>
      </c>
      <c r="K35" s="5" t="s">
        <v>42</v>
      </c>
      <c r="L35" s="5" t="s">
        <v>84</v>
      </c>
      <c r="M35" s="5" t="s">
        <v>59</v>
      </c>
      <c r="N35" s="5" t="s">
        <v>108</v>
      </c>
      <c r="O35" s="5" t="s">
        <v>166</v>
      </c>
      <c r="P35" s="5" t="n">
        <v>48</v>
      </c>
      <c r="Q35" s="4" t="s">
        <v>32</v>
      </c>
      <c r="R35" s="5" t="s">
        <v>402</v>
      </c>
      <c r="S35" s="5" t="s">
        <v>403</v>
      </c>
    </row>
    <row r="36" customFormat="false" ht="72" hidden="false" customHeight="true" outlineLevel="0" collapsed="false">
      <c r="A36" s="2" t="n">
        <v>35</v>
      </c>
      <c r="B36" s="2" t="s">
        <v>404</v>
      </c>
      <c r="C36" s="2" t="s">
        <v>405</v>
      </c>
      <c r="D36" s="2" t="s">
        <v>266</v>
      </c>
      <c r="E36" s="3" t="n">
        <v>750000</v>
      </c>
      <c r="F36" s="2" t="s">
        <v>406</v>
      </c>
      <c r="G36" s="2" t="s">
        <v>407</v>
      </c>
      <c r="H36" s="2" t="s">
        <v>408</v>
      </c>
      <c r="I36" s="2" t="s">
        <v>409</v>
      </c>
      <c r="J36" s="2" t="s">
        <v>271</v>
      </c>
      <c r="K36" s="2" t="s">
        <v>213</v>
      </c>
      <c r="L36" s="2" t="s">
        <v>142</v>
      </c>
      <c r="M36" s="2" t="s">
        <v>248</v>
      </c>
      <c r="N36" s="2" t="s">
        <v>410</v>
      </c>
      <c r="O36" s="2" t="s">
        <v>411</v>
      </c>
      <c r="P36" s="2" t="n">
        <v>36</v>
      </c>
      <c r="Q36" s="7" t="s">
        <v>110</v>
      </c>
      <c r="R36" s="2" t="s">
        <v>412</v>
      </c>
      <c r="S36" s="2" t="s">
        <v>413</v>
      </c>
    </row>
    <row r="37" customFormat="false" ht="72" hidden="false" customHeight="true" outlineLevel="0" collapsed="false">
      <c r="A37" s="5" t="n">
        <v>36</v>
      </c>
      <c r="B37" s="5" t="s">
        <v>414</v>
      </c>
      <c r="C37" s="5" t="s">
        <v>415</v>
      </c>
      <c r="D37" s="5" t="s">
        <v>416</v>
      </c>
      <c r="E37" s="6" t="n">
        <v>1000000</v>
      </c>
      <c r="F37" s="5" t="s">
        <v>417</v>
      </c>
      <c r="G37" s="5" t="s">
        <v>418</v>
      </c>
      <c r="H37" s="5" t="s">
        <v>419</v>
      </c>
      <c r="I37" s="5" t="s">
        <v>420</v>
      </c>
      <c r="J37" s="5" t="s">
        <v>421</v>
      </c>
      <c r="K37" s="5" t="s">
        <v>72</v>
      </c>
      <c r="L37" s="5" t="s">
        <v>85</v>
      </c>
      <c r="M37" s="5" t="s">
        <v>272</v>
      </c>
      <c r="N37" s="5" t="s">
        <v>322</v>
      </c>
      <c r="O37" s="5" t="s">
        <v>323</v>
      </c>
      <c r="P37" s="5" t="n">
        <v>36</v>
      </c>
      <c r="Q37" s="7" t="s">
        <v>110</v>
      </c>
      <c r="R37" s="5" t="s">
        <v>422</v>
      </c>
      <c r="S37" s="5" t="s">
        <v>423</v>
      </c>
    </row>
    <row r="38" customFormat="false" ht="72" hidden="false" customHeight="true" outlineLevel="0" collapsed="false">
      <c r="A38" s="2" t="n">
        <v>37</v>
      </c>
      <c r="B38" s="2" t="s">
        <v>424</v>
      </c>
      <c r="C38" s="2" t="s">
        <v>425</v>
      </c>
      <c r="D38" s="2" t="s">
        <v>426</v>
      </c>
      <c r="E38" s="3" t="n">
        <v>2000000</v>
      </c>
      <c r="F38" s="2" t="s">
        <v>427</v>
      </c>
      <c r="G38" s="2" t="s">
        <v>428</v>
      </c>
      <c r="H38" s="2" t="s">
        <v>429</v>
      </c>
      <c r="I38" s="2" t="s">
        <v>430</v>
      </c>
      <c r="J38" s="2" t="s">
        <v>431</v>
      </c>
      <c r="K38" s="2" t="s">
        <v>335</v>
      </c>
      <c r="L38" s="2" t="s">
        <v>272</v>
      </c>
      <c r="M38" s="2" t="s">
        <v>260</v>
      </c>
      <c r="N38" s="2" t="s">
        <v>432</v>
      </c>
      <c r="O38" s="2" t="s">
        <v>433</v>
      </c>
      <c r="P38" s="2" t="n">
        <v>48</v>
      </c>
      <c r="Q38" s="7" t="s">
        <v>110</v>
      </c>
      <c r="R38" s="2" t="s">
        <v>434</v>
      </c>
      <c r="S38" s="2" t="s">
        <v>435</v>
      </c>
    </row>
    <row r="39" customFormat="false" ht="72" hidden="false" customHeight="true" outlineLevel="0" collapsed="false">
      <c r="A39" s="5" t="n">
        <v>38</v>
      </c>
      <c r="B39" s="5" t="s">
        <v>436</v>
      </c>
      <c r="C39" s="5" t="s">
        <v>437</v>
      </c>
      <c r="D39" s="5" t="s">
        <v>328</v>
      </c>
      <c r="E39" s="6" t="n">
        <v>200000</v>
      </c>
      <c r="F39" s="5" t="s">
        <v>438</v>
      </c>
      <c r="G39" s="5" t="s">
        <v>439</v>
      </c>
      <c r="H39" s="5" t="s">
        <v>440</v>
      </c>
      <c r="I39" s="5" t="s">
        <v>441</v>
      </c>
      <c r="J39" s="5" t="s">
        <v>176</v>
      </c>
      <c r="K39" s="5" t="s">
        <v>57</v>
      </c>
      <c r="L39" s="5" t="s">
        <v>58</v>
      </c>
      <c r="M39" s="5" t="s">
        <v>30</v>
      </c>
      <c r="N39" s="5" t="s">
        <v>248</v>
      </c>
      <c r="O39" s="5" t="s">
        <v>249</v>
      </c>
      <c r="P39" s="5" t="n">
        <v>36</v>
      </c>
      <c r="Q39" s="4" t="s">
        <v>32</v>
      </c>
      <c r="R39" s="5" t="s">
        <v>442</v>
      </c>
      <c r="S39" s="5" t="s">
        <v>443</v>
      </c>
    </row>
    <row r="40" customFormat="false" ht="72" hidden="false" customHeight="true" outlineLevel="0" collapsed="false">
      <c r="A40" s="2" t="n">
        <v>39</v>
      </c>
      <c r="B40" s="2" t="s">
        <v>444</v>
      </c>
      <c r="C40" s="2" t="s">
        <v>445</v>
      </c>
      <c r="D40" s="2" t="s">
        <v>328</v>
      </c>
      <c r="E40" s="3" t="n">
        <v>500000</v>
      </c>
      <c r="F40" s="2" t="s">
        <v>446</v>
      </c>
      <c r="G40" s="2" t="s">
        <v>447</v>
      </c>
      <c r="H40" s="2" t="s">
        <v>448</v>
      </c>
      <c r="I40" s="2" t="s">
        <v>449</v>
      </c>
      <c r="J40" s="2" t="s">
        <v>450</v>
      </c>
      <c r="K40" s="2" t="s">
        <v>212</v>
      </c>
      <c r="L40" s="2" t="s">
        <v>213</v>
      </c>
      <c r="M40" s="2" t="s">
        <v>30</v>
      </c>
      <c r="N40" s="2" t="s">
        <v>108</v>
      </c>
      <c r="O40" s="2" t="s">
        <v>166</v>
      </c>
      <c r="P40" s="2" t="n">
        <v>48</v>
      </c>
      <c r="Q40" s="4" t="s">
        <v>32</v>
      </c>
      <c r="R40" s="2" t="s">
        <v>451</v>
      </c>
      <c r="S40" s="2" t="s">
        <v>452</v>
      </c>
    </row>
    <row r="41" customFormat="false" ht="72" hidden="false" customHeight="true" outlineLevel="0" collapsed="false">
      <c r="A41" s="5" t="n">
        <v>40</v>
      </c>
      <c r="B41" s="5" t="s">
        <v>453</v>
      </c>
      <c r="C41" s="5" t="s">
        <v>454</v>
      </c>
      <c r="D41" s="5" t="s">
        <v>328</v>
      </c>
      <c r="E41" s="6" t="n">
        <v>150000</v>
      </c>
      <c r="F41" s="5" t="s">
        <v>455</v>
      </c>
      <c r="G41" s="5" t="s">
        <v>456</v>
      </c>
      <c r="H41" s="5" t="s">
        <v>457</v>
      </c>
      <c r="I41" s="5" t="s">
        <v>458</v>
      </c>
      <c r="J41" s="5" t="s">
        <v>176</v>
      </c>
      <c r="K41" s="5" t="s">
        <v>72</v>
      </c>
      <c r="L41" s="5" t="s">
        <v>73</v>
      </c>
      <c r="M41" s="5" t="s">
        <v>165</v>
      </c>
      <c r="N41" s="5" t="s">
        <v>248</v>
      </c>
      <c r="O41" s="5" t="s">
        <v>459</v>
      </c>
      <c r="P41" s="5" t="n">
        <v>24</v>
      </c>
      <c r="Q41" s="4" t="s">
        <v>32</v>
      </c>
      <c r="R41" s="5" t="s">
        <v>460</v>
      </c>
      <c r="S41" s="5" t="s">
        <v>461</v>
      </c>
    </row>
    <row r="42" customFormat="false" ht="72" hidden="false" customHeight="true" outlineLevel="0" collapsed="false">
      <c r="A42" s="2" t="n">
        <v>41</v>
      </c>
      <c r="B42" s="2" t="s">
        <v>462</v>
      </c>
      <c r="C42" s="2" t="s">
        <v>463</v>
      </c>
      <c r="D42" s="2" t="s">
        <v>464</v>
      </c>
      <c r="E42" s="3" t="n">
        <v>200000</v>
      </c>
      <c r="F42" s="2" t="s">
        <v>465</v>
      </c>
      <c r="G42" s="2" t="s">
        <v>466</v>
      </c>
      <c r="H42" s="2" t="s">
        <v>467</v>
      </c>
      <c r="I42" s="2" t="s">
        <v>468</v>
      </c>
      <c r="J42" s="2" t="s">
        <v>469</v>
      </c>
      <c r="K42" s="2" t="s">
        <v>83</v>
      </c>
      <c r="L42" s="2" t="s">
        <v>335</v>
      </c>
      <c r="M42" s="2" t="s">
        <v>30</v>
      </c>
      <c r="N42" s="2" t="s">
        <v>248</v>
      </c>
      <c r="O42" s="2" t="s">
        <v>249</v>
      </c>
      <c r="P42" s="2" t="n">
        <v>36</v>
      </c>
      <c r="Q42" s="4" t="s">
        <v>32</v>
      </c>
      <c r="R42" s="2" t="s">
        <v>470</v>
      </c>
      <c r="S42" s="2" t="s">
        <v>471</v>
      </c>
    </row>
    <row r="43" customFormat="false" ht="72" hidden="false" customHeight="true" outlineLevel="0" collapsed="false">
      <c r="A43" s="5" t="n">
        <v>42</v>
      </c>
      <c r="B43" s="5" t="s">
        <v>472</v>
      </c>
      <c r="C43" s="5" t="s">
        <v>473</v>
      </c>
      <c r="D43" s="5" t="s">
        <v>474</v>
      </c>
      <c r="E43" s="6" t="n">
        <v>100000</v>
      </c>
      <c r="F43" s="5" t="s">
        <v>475</v>
      </c>
      <c r="G43" s="5" t="s">
        <v>476</v>
      </c>
      <c r="H43" s="5" t="s">
        <v>477</v>
      </c>
      <c r="I43" s="5" t="s">
        <v>478</v>
      </c>
      <c r="J43" s="5" t="s">
        <v>479</v>
      </c>
      <c r="K43" s="5" t="s">
        <v>84</v>
      </c>
      <c r="L43" s="5" t="s">
        <v>97</v>
      </c>
      <c r="M43" s="5" t="s">
        <v>60</v>
      </c>
      <c r="N43" s="5" t="s">
        <v>143</v>
      </c>
      <c r="O43" s="5" t="s">
        <v>480</v>
      </c>
      <c r="P43" s="5" t="n">
        <v>36</v>
      </c>
      <c r="Q43" s="7" t="s">
        <v>110</v>
      </c>
      <c r="R43" s="5" t="s">
        <v>481</v>
      </c>
      <c r="S43" s="5" t="s">
        <v>482</v>
      </c>
    </row>
    <row r="44" customFormat="false" ht="72" hidden="false" customHeight="true" outlineLevel="0" collapsed="false">
      <c r="A44" s="2" t="n">
        <v>43</v>
      </c>
      <c r="B44" s="2" t="s">
        <v>483</v>
      </c>
      <c r="C44" s="2" t="s">
        <v>484</v>
      </c>
      <c r="D44" s="2" t="s">
        <v>485</v>
      </c>
      <c r="E44" s="3" t="n">
        <v>30000</v>
      </c>
      <c r="F44" s="2" t="s">
        <v>486</v>
      </c>
      <c r="G44" s="2" t="s">
        <v>487</v>
      </c>
      <c r="H44" s="2" t="s">
        <v>488</v>
      </c>
      <c r="I44" s="2" t="s">
        <v>489</v>
      </c>
      <c r="J44" s="2" t="s">
        <v>490</v>
      </c>
      <c r="K44" s="2" t="s">
        <v>42</v>
      </c>
      <c r="L44" s="2" t="s">
        <v>43</v>
      </c>
      <c r="M44" s="2" t="s">
        <v>85</v>
      </c>
      <c r="N44" s="2" t="s">
        <v>30</v>
      </c>
      <c r="O44" s="2" t="s">
        <v>31</v>
      </c>
      <c r="P44" s="2" t="n">
        <v>24</v>
      </c>
      <c r="Q44" s="4" t="s">
        <v>32</v>
      </c>
      <c r="R44" s="2" t="s">
        <v>491</v>
      </c>
      <c r="S44" s="2" t="s">
        <v>492</v>
      </c>
    </row>
    <row r="45" customFormat="false" ht="72" hidden="false" customHeight="true" outlineLevel="0" collapsed="false">
      <c r="A45" s="5" t="n">
        <v>44</v>
      </c>
      <c r="B45" s="5" t="s">
        <v>493</v>
      </c>
      <c r="C45" s="5" t="s">
        <v>494</v>
      </c>
      <c r="D45" s="5" t="s">
        <v>149</v>
      </c>
      <c r="E45" s="6" t="n">
        <v>25000</v>
      </c>
      <c r="F45" s="5" t="s">
        <v>495</v>
      </c>
      <c r="G45" s="5" t="s">
        <v>496</v>
      </c>
      <c r="H45" s="5" t="s">
        <v>497</v>
      </c>
      <c r="I45" s="5" t="s">
        <v>498</v>
      </c>
      <c r="J45" s="5" t="s">
        <v>176</v>
      </c>
      <c r="K45" s="5" t="s">
        <v>57</v>
      </c>
      <c r="L45" s="5" t="s">
        <v>29</v>
      </c>
      <c r="M45" s="5" t="s">
        <v>30</v>
      </c>
      <c r="N45" s="5" t="s">
        <v>60</v>
      </c>
      <c r="O45" s="5" t="s">
        <v>499</v>
      </c>
      <c r="P45" s="5" t="n">
        <v>12</v>
      </c>
      <c r="Q45" s="7" t="s">
        <v>110</v>
      </c>
      <c r="R45" s="5" t="s">
        <v>500</v>
      </c>
      <c r="S45" s="5" t="s">
        <v>501</v>
      </c>
    </row>
    <row r="46" customFormat="false" ht="72" hidden="false" customHeight="true" outlineLevel="0" collapsed="false">
      <c r="A46" s="2" t="n">
        <v>45</v>
      </c>
      <c r="B46" s="2" t="s">
        <v>502</v>
      </c>
      <c r="C46" s="2" t="s">
        <v>503</v>
      </c>
      <c r="D46" s="2" t="s">
        <v>254</v>
      </c>
      <c r="E46" s="3" t="n">
        <v>1000000</v>
      </c>
      <c r="F46" s="2" t="s">
        <v>504</v>
      </c>
      <c r="G46" s="2" t="s">
        <v>505</v>
      </c>
      <c r="H46" s="2" t="s">
        <v>506</v>
      </c>
      <c r="I46" s="2" t="s">
        <v>507</v>
      </c>
      <c r="J46" s="2" t="s">
        <v>154</v>
      </c>
      <c r="K46" s="2" t="s">
        <v>72</v>
      </c>
      <c r="L46" s="2" t="s">
        <v>44</v>
      </c>
      <c r="M46" s="2" t="s">
        <v>60</v>
      </c>
      <c r="N46" s="2" t="s">
        <v>322</v>
      </c>
      <c r="O46" s="2" t="s">
        <v>508</v>
      </c>
      <c r="P46" s="2" t="n">
        <v>60</v>
      </c>
      <c r="Q46" s="7" t="s">
        <v>110</v>
      </c>
      <c r="R46" s="2" t="s">
        <v>509</v>
      </c>
      <c r="S46" s="2" t="s">
        <v>510</v>
      </c>
    </row>
    <row r="47" customFormat="false" ht="72" hidden="false" customHeight="true" outlineLevel="0" collapsed="false">
      <c r="A47" s="5" t="n">
        <v>46</v>
      </c>
      <c r="B47" s="5" t="s">
        <v>511</v>
      </c>
      <c r="C47" s="5" t="s">
        <v>512</v>
      </c>
      <c r="D47" s="5" t="s">
        <v>328</v>
      </c>
      <c r="E47" s="6" t="n">
        <v>200000</v>
      </c>
      <c r="F47" s="5" t="s">
        <v>513</v>
      </c>
      <c r="G47" s="5" t="s">
        <v>514</v>
      </c>
      <c r="H47" s="5" t="s">
        <v>515</v>
      </c>
      <c r="I47" s="5" t="s">
        <v>516</v>
      </c>
      <c r="J47" s="5" t="s">
        <v>176</v>
      </c>
      <c r="K47" s="5" t="s">
        <v>96</v>
      </c>
      <c r="L47" s="5" t="s">
        <v>44</v>
      </c>
      <c r="M47" s="5" t="s">
        <v>272</v>
      </c>
      <c r="N47" s="5" t="s">
        <v>200</v>
      </c>
      <c r="O47" s="5" t="s">
        <v>517</v>
      </c>
      <c r="P47" s="5" t="n">
        <v>36</v>
      </c>
      <c r="Q47" s="4" t="s">
        <v>32</v>
      </c>
      <c r="R47" s="5" t="s">
        <v>518</v>
      </c>
      <c r="S47" s="5" t="s">
        <v>519</v>
      </c>
    </row>
    <row r="48" customFormat="false" ht="72" hidden="false" customHeight="true" outlineLevel="0" collapsed="false">
      <c r="A48" s="2" t="n">
        <v>47</v>
      </c>
      <c r="B48" s="2" t="s">
        <v>520</v>
      </c>
      <c r="C48" s="2" t="s">
        <v>521</v>
      </c>
      <c r="D48" s="2" t="s">
        <v>328</v>
      </c>
      <c r="E48" s="3" t="n">
        <v>80000</v>
      </c>
      <c r="F48" s="2" t="s">
        <v>522</v>
      </c>
      <c r="G48" s="2" t="s">
        <v>523</v>
      </c>
      <c r="H48" s="2" t="s">
        <v>524</v>
      </c>
      <c r="I48" s="2" t="s">
        <v>525</v>
      </c>
      <c r="J48" s="2" t="s">
        <v>176</v>
      </c>
      <c r="K48" s="2" t="s">
        <v>177</v>
      </c>
      <c r="L48" s="2" t="s">
        <v>178</v>
      </c>
      <c r="M48" s="2" t="s">
        <v>85</v>
      </c>
      <c r="N48" s="2" t="s">
        <v>30</v>
      </c>
      <c r="O48" s="2" t="s">
        <v>31</v>
      </c>
      <c r="P48" s="2" t="n">
        <v>24</v>
      </c>
      <c r="Q48" s="4" t="s">
        <v>32</v>
      </c>
      <c r="R48" s="2" t="s">
        <v>526</v>
      </c>
      <c r="S48" s="2" t="s">
        <v>527</v>
      </c>
    </row>
    <row r="49" customFormat="false" ht="72" hidden="false" customHeight="true" outlineLevel="0" collapsed="false">
      <c r="A49" s="5" t="n">
        <v>48</v>
      </c>
      <c r="B49" s="5" t="s">
        <v>528</v>
      </c>
      <c r="C49" s="5" t="s">
        <v>529</v>
      </c>
      <c r="D49" s="5" t="s">
        <v>530</v>
      </c>
      <c r="E49" s="6" t="n">
        <v>40000</v>
      </c>
      <c r="F49" s="5" t="s">
        <v>531</v>
      </c>
      <c r="G49" s="5" t="s">
        <v>532</v>
      </c>
      <c r="H49" s="5" t="s">
        <v>533</v>
      </c>
      <c r="I49" s="5" t="s">
        <v>534</v>
      </c>
      <c r="J49" s="5" t="s">
        <v>535</v>
      </c>
      <c r="K49" s="5" t="s">
        <v>30</v>
      </c>
      <c r="L49" s="5" t="s">
        <v>536</v>
      </c>
      <c r="M49" s="5" t="s">
        <v>143</v>
      </c>
      <c r="N49" s="5" t="s">
        <v>201</v>
      </c>
      <c r="O49" s="5" t="s">
        <v>537</v>
      </c>
      <c r="P49" s="5" t="n">
        <v>24</v>
      </c>
      <c r="Q49" s="7" t="s">
        <v>110</v>
      </c>
      <c r="R49" s="5" t="s">
        <v>538</v>
      </c>
      <c r="S49" s="5" t="s">
        <v>539</v>
      </c>
    </row>
    <row r="50" customFormat="false" ht="72" hidden="false" customHeight="true" outlineLevel="0" collapsed="false">
      <c r="A50" s="2" t="n">
        <v>49</v>
      </c>
      <c r="B50" s="2" t="s">
        <v>540</v>
      </c>
      <c r="C50" s="2" t="s">
        <v>541</v>
      </c>
      <c r="D50" s="2" t="s">
        <v>542</v>
      </c>
      <c r="E50" s="3" t="n">
        <v>300000</v>
      </c>
      <c r="F50" s="2" t="s">
        <v>543</v>
      </c>
      <c r="G50" s="2" t="s">
        <v>544</v>
      </c>
      <c r="H50" s="2" t="s">
        <v>545</v>
      </c>
      <c r="I50" s="2" t="s">
        <v>546</v>
      </c>
      <c r="J50" s="2" t="s">
        <v>176</v>
      </c>
      <c r="K50" s="2" t="s">
        <v>85</v>
      </c>
      <c r="L50" s="2" t="s">
        <v>45</v>
      </c>
      <c r="M50" s="2" t="s">
        <v>143</v>
      </c>
      <c r="N50" s="2" t="s">
        <v>311</v>
      </c>
      <c r="O50" s="2" t="s">
        <v>547</v>
      </c>
      <c r="P50" s="2" t="n">
        <v>36</v>
      </c>
      <c r="Q50" s="7" t="s">
        <v>110</v>
      </c>
      <c r="R50" s="2" t="s">
        <v>548</v>
      </c>
      <c r="S50" s="2" t="s">
        <v>549</v>
      </c>
    </row>
    <row r="51" customFormat="false" ht="72" hidden="false" customHeight="true" outlineLevel="0" collapsed="false">
      <c r="A51" s="5" t="n">
        <v>50</v>
      </c>
      <c r="B51" s="5" t="s">
        <v>550</v>
      </c>
      <c r="C51" s="5" t="s">
        <v>551</v>
      </c>
      <c r="D51" s="5" t="s">
        <v>304</v>
      </c>
      <c r="E51" s="6" t="n">
        <v>600000</v>
      </c>
      <c r="F51" s="5" t="s">
        <v>552</v>
      </c>
      <c r="G51" s="5" t="s">
        <v>553</v>
      </c>
      <c r="H51" s="5" t="s">
        <v>554</v>
      </c>
      <c r="I51" s="5" t="s">
        <v>555</v>
      </c>
      <c r="J51" s="5" t="s">
        <v>556</v>
      </c>
      <c r="K51" s="5" t="s">
        <v>84</v>
      </c>
      <c r="L51" s="5" t="s">
        <v>142</v>
      </c>
      <c r="M51" s="5" t="s">
        <v>391</v>
      </c>
      <c r="N51" s="5" t="s">
        <v>410</v>
      </c>
      <c r="O51" s="5" t="s">
        <v>411</v>
      </c>
      <c r="P51" s="5" t="n">
        <v>36</v>
      </c>
      <c r="Q51" s="4" t="s">
        <v>32</v>
      </c>
      <c r="R51" s="5" t="s">
        <v>557</v>
      </c>
      <c r="S51" s="5" t="s">
        <v>558</v>
      </c>
    </row>
  </sheetData>
  <autoFilter ref="A1:S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10"/>
  </cols>
  <sheetData>
    <row r="1" customFormat="false" ht="36" hidden="false" customHeight="true" outlineLevel="0" collapsed="false">
      <c r="A1" s="9" t="s">
        <v>559</v>
      </c>
      <c r="B1" s="9"/>
      <c r="C1" s="9"/>
      <c r="D1" s="9"/>
      <c r="E1" s="9"/>
      <c r="F1" s="9"/>
      <c r="G1" s="9"/>
      <c r="H1" s="9"/>
    </row>
    <row r="3" customFormat="false" ht="27.75" hidden="false" customHeight="true" outlineLevel="0" collapsed="false">
      <c r="A3" s="10" t="s">
        <v>560</v>
      </c>
      <c r="B3" s="11" t="s">
        <v>561</v>
      </c>
      <c r="C3" s="12" t="s">
        <v>562</v>
      </c>
      <c r="D3" s="13" t="s">
        <v>563</v>
      </c>
      <c r="E3" s="14" t="s">
        <v>564</v>
      </c>
      <c r="F3" s="15" t="s">
        <v>149</v>
      </c>
      <c r="G3" s="16" t="s">
        <v>565</v>
      </c>
      <c r="H3" s="17" t="s">
        <v>566</v>
      </c>
    </row>
    <row r="4" customFormat="false" ht="36" hidden="false" customHeight="true" outlineLevel="0" collapsed="false">
      <c r="A4" s="18" t="n">
        <f aca="false">COUNTA('Grant Database'!A2:A51)</f>
        <v>50</v>
      </c>
      <c r="B4" s="19" t="n">
        <f aca="false">COUNTIF('Grant Database'!Q2:Q51,"Open")</f>
        <v>30</v>
      </c>
      <c r="C4" s="20" t="n">
        <f aca="false">COUNTIF('Grant Database'!Q2:Q51,"Closed")</f>
        <v>2</v>
      </c>
      <c r="D4" s="21" t="n">
        <f aca="false">COUNTIF('Grant Database'!Q2:Q51,"Upcoming")</f>
        <v>18</v>
      </c>
      <c r="E4" s="22" t="n">
        <f aca="false">COUNTIF('Grant Database'!J2:J51,"Kenya")</f>
        <v>6</v>
      </c>
      <c r="F4" s="23" t="n">
        <f aca="false">COUNTIF('Grant Database'!J2:J51,"*Africa-wide*")+COUNTIF('Grant Database'!J2:J51,"Sub-Saharan Africa")+COUNTIF('Grant Database'!J2:J51,"Africa")</f>
        <v>14</v>
      </c>
      <c r="G4" s="24" t="n">
        <f aca="false">COUNTIF('Grant Database'!J2:J51,"*East Africa*")</f>
        <v>2</v>
      </c>
      <c r="H4" s="25" t="n">
        <f aca="false">COUNTIF('Grant Database'!J2:J51,"*Global*")+COUNTIF('Grant Database'!J2:J51,"*LMIC*")</f>
        <v>17</v>
      </c>
    </row>
    <row r="5" customFormat="false" ht="9.75" hidden="false" customHeight="true" outlineLevel="0" collapsed="false"/>
    <row r="7" customFormat="false" ht="24" hidden="false" customHeight="true" outlineLevel="0" collapsed="false">
      <c r="A7" s="26" t="s">
        <v>16</v>
      </c>
      <c r="B7" s="26" t="s">
        <v>567</v>
      </c>
      <c r="C7" s="26" t="s">
        <v>568</v>
      </c>
      <c r="E7" s="27" t="s">
        <v>3</v>
      </c>
      <c r="F7" s="27" t="s">
        <v>567</v>
      </c>
      <c r="G7" s="28" t="s">
        <v>569</v>
      </c>
      <c r="H7" s="28" t="s">
        <v>567</v>
      </c>
    </row>
    <row r="8" customFormat="false" ht="15" hidden="false" customHeight="false" outlineLevel="0" collapsed="false">
      <c r="A8" s="29" t="s">
        <v>32</v>
      </c>
      <c r="B8" s="30" t="n">
        <f aca="false">COUNTIF('Grant Database'!Q:Q,"Open")</f>
        <v>30</v>
      </c>
      <c r="C8" s="31" t="n">
        <f aca="false">B8/B$11</f>
        <v>0.6</v>
      </c>
      <c r="E8" s="32" t="s">
        <v>21</v>
      </c>
      <c r="F8" s="30" t="n">
        <f aca="false">COUNTIF('Grant Database'!D:D,"National Research Institute")</f>
        <v>1</v>
      </c>
      <c r="G8" s="33" t="s">
        <v>570</v>
      </c>
      <c r="H8" s="30" t="n">
        <f aca="false">COUNTIF('Grant Database'!I:I,"*HIV/AIDS*")</f>
        <v>2</v>
      </c>
    </row>
    <row r="9" customFormat="false" ht="15" hidden="false" customHeight="false" outlineLevel="0" collapsed="false">
      <c r="A9" s="34" t="s">
        <v>121</v>
      </c>
      <c r="B9" s="30" t="n">
        <f aca="false">COUNTIF('Grant Database'!Q:Q,"Closed")</f>
        <v>2</v>
      </c>
      <c r="C9" s="31" t="n">
        <f aca="false">B9/B$11</f>
        <v>0.04</v>
      </c>
      <c r="E9" s="32" t="s">
        <v>37</v>
      </c>
      <c r="F9" s="30" t="n">
        <f aca="false">COUNTIF('Grant Database'!D:D,"National Government")</f>
        <v>2</v>
      </c>
      <c r="G9" s="33" t="s">
        <v>571</v>
      </c>
      <c r="H9" s="30" t="n">
        <f aca="false">COUNTIF('Grant Database'!I:I,"*Malaria*")</f>
        <v>2</v>
      </c>
    </row>
    <row r="10" customFormat="false" ht="15" hidden="false" customHeight="false" outlineLevel="0" collapsed="false">
      <c r="A10" s="35" t="s">
        <v>110</v>
      </c>
      <c r="B10" s="30" t="n">
        <f aca="false">COUNTIF('Grant Database'!Q:Q,"Upcoming")</f>
        <v>18</v>
      </c>
      <c r="C10" s="31" t="n">
        <f aca="false">B10/B$11</f>
        <v>0.36</v>
      </c>
      <c r="E10" s="32" t="s">
        <v>149</v>
      </c>
      <c r="F10" s="30" t="n">
        <f aca="false">COUNTIF('Grant Database'!D:D,"Pan-African")</f>
        <v>3</v>
      </c>
      <c r="G10" s="33" t="s">
        <v>572</v>
      </c>
      <c r="H10" s="30" t="n">
        <f aca="false">COUNTIF('Grant Database'!I:I,"*Tuberculosis*")</f>
        <v>1</v>
      </c>
    </row>
    <row r="11" customFormat="false" ht="15" hidden="false" customHeight="false" outlineLevel="0" collapsed="false">
      <c r="A11" s="36" t="s">
        <v>573</v>
      </c>
      <c r="B11" s="30" t="n">
        <f aca="false">SUM(B8:B10)</f>
        <v>50</v>
      </c>
      <c r="C11" s="31" t="n">
        <f aca="false">SUM(C8:C10)</f>
        <v>1</v>
      </c>
      <c r="E11" s="32" t="s">
        <v>207</v>
      </c>
      <c r="F11" s="30" t="n">
        <f aca="false">COUNTIF('Grant Database'!D:D,"International Foundation")</f>
        <v>2</v>
      </c>
      <c r="G11" s="33" t="s">
        <v>574</v>
      </c>
      <c r="H11" s="30" t="n">
        <f aca="false">COUNTIF('Grant Database'!I:I,"*NCD*")</f>
        <v>1</v>
      </c>
    </row>
    <row r="12" customFormat="false" ht="15" hidden="false" customHeight="false" outlineLevel="0" collapsed="false">
      <c r="E12" s="32" t="s">
        <v>218</v>
      </c>
      <c r="F12" s="30" t="n">
        <f aca="false">COUNTIF('Grant Database'!D:D,"US Federal")</f>
        <v>2</v>
      </c>
      <c r="G12" s="33" t="s">
        <v>575</v>
      </c>
      <c r="H12" s="30" t="n">
        <f aca="false">COUNTIF('Grant Database'!I:I,"*Maternal Health*")</f>
        <v>0</v>
      </c>
    </row>
    <row r="13" customFormat="false" ht="15" hidden="false" customHeight="false" outlineLevel="0" collapsed="false">
      <c r="E13" s="32" t="s">
        <v>328</v>
      </c>
      <c r="F13" s="30" t="n">
        <f aca="false">COUNTIF('Grant Database'!D:D,"International NGO")</f>
        <v>9</v>
      </c>
      <c r="G13" s="33" t="s">
        <v>576</v>
      </c>
      <c r="H13" s="30" t="n">
        <f aca="false">COUNTIF('Grant Database'!I:I,"*Nutrition*")</f>
        <v>2</v>
      </c>
    </row>
    <row r="14" customFormat="false" ht="15" hidden="false" customHeight="false" outlineLevel="0" collapsed="false">
      <c r="E14" s="32" t="s">
        <v>66</v>
      </c>
      <c r="F14" s="30" t="n">
        <f aca="false">COUNTIF('Grant Database'!D:D,"Academic Institution")</f>
        <v>2</v>
      </c>
      <c r="G14" s="33" t="s">
        <v>577</v>
      </c>
      <c r="H14" s="30" t="n">
        <f aca="false">COUNTIF('Grant Database'!I:I,"*Genomics*")</f>
        <v>1</v>
      </c>
    </row>
    <row r="15" customFormat="false" ht="15" hidden="false" customHeight="false" outlineLevel="0" collapsed="false">
      <c r="E15" s="32" t="s">
        <v>126</v>
      </c>
      <c r="F15" s="30" t="n">
        <f aca="false">COUNTIF('Grant Database'!D:D,"Regional Government Body")</f>
        <v>1</v>
      </c>
      <c r="G15" s="33" t="s">
        <v>578</v>
      </c>
      <c r="H15" s="30" t="n">
        <f aca="false">COUNTIF('Grant Database'!I:I,"*Digital Health*")</f>
        <v>1</v>
      </c>
    </row>
    <row r="16" customFormat="false" ht="15" hidden="false" customHeight="false" outlineLevel="0" collapsed="false">
      <c r="E16" s="32" t="s">
        <v>426</v>
      </c>
      <c r="F16" s="30" t="n">
        <f aca="false">COUNTIF('Grant Database'!D:D,"EU Government")</f>
        <v>1</v>
      </c>
      <c r="G16" s="33" t="s">
        <v>579</v>
      </c>
      <c r="H16" s="30" t="n">
        <f aca="false">COUNTIF('Grant Database'!I:I,"*Surgical*")</f>
        <v>1</v>
      </c>
    </row>
    <row r="17" customFormat="false" ht="15" hidden="false" customHeight="false" outlineLevel="0" collapsed="false">
      <c r="E17" s="32" t="s">
        <v>396</v>
      </c>
      <c r="F17" s="30" t="n">
        <f aca="false">COUNTIF('Grant Database'!D:D,"Canadian Government")</f>
        <v>1</v>
      </c>
      <c r="G17" s="33" t="s">
        <v>580</v>
      </c>
      <c r="H17" s="30" t="n">
        <f aca="false">COUNTIF('Grant Database'!I:I,"*Eye Health*")</f>
        <v>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30" hidden="false" customHeight="true" outlineLevel="0" collapsed="false">
      <c r="A1" s="37" t="s">
        <v>581</v>
      </c>
      <c r="B1" s="37"/>
      <c r="C1" s="37"/>
      <c r="D1" s="37"/>
      <c r="E1" s="37"/>
    </row>
    <row r="2" customFormat="false" ht="15" hidden="false" customHeight="false" outlineLevel="0" collapsed="false">
      <c r="A2" s="38" t="s">
        <v>1</v>
      </c>
      <c r="B2" s="38" t="s">
        <v>582</v>
      </c>
      <c r="C2" s="38" t="s">
        <v>583</v>
      </c>
      <c r="D2" s="38" t="s">
        <v>16</v>
      </c>
      <c r="E2" s="38" t="s">
        <v>9</v>
      </c>
      <c r="F2" s="38" t="s">
        <v>584</v>
      </c>
    </row>
    <row r="3" customFormat="false" ht="48" hidden="false" customHeight="true" outlineLevel="0" collapsed="false">
      <c r="A3" s="5" t="s">
        <v>19</v>
      </c>
      <c r="B3" s="5" t="s">
        <v>20</v>
      </c>
      <c r="C3" s="39" t="n">
        <v>50000</v>
      </c>
      <c r="D3" s="40" t="s">
        <v>32</v>
      </c>
      <c r="E3" s="5" t="s">
        <v>26</v>
      </c>
      <c r="F3" s="5" t="s">
        <v>28</v>
      </c>
    </row>
    <row r="4" customFormat="false" ht="48" hidden="false" customHeight="true" outlineLevel="0" collapsed="false">
      <c r="A4" s="2" t="s">
        <v>35</v>
      </c>
      <c r="B4" s="2" t="s">
        <v>36</v>
      </c>
      <c r="C4" s="41" t="n">
        <v>30000</v>
      </c>
      <c r="D4" s="40" t="s">
        <v>32</v>
      </c>
      <c r="E4" s="2" t="s">
        <v>26</v>
      </c>
      <c r="F4" s="2" t="s">
        <v>43</v>
      </c>
    </row>
    <row r="5" customFormat="false" ht="48" hidden="false" customHeight="true" outlineLevel="0" collapsed="false">
      <c r="A5" s="5" t="s">
        <v>49</v>
      </c>
      <c r="B5" s="5" t="s">
        <v>50</v>
      </c>
      <c r="C5" s="39" t="n">
        <v>80000</v>
      </c>
      <c r="D5" s="40" t="s">
        <v>32</v>
      </c>
      <c r="E5" s="5" t="s">
        <v>56</v>
      </c>
      <c r="F5" s="5" t="s">
        <v>58</v>
      </c>
    </row>
    <row r="6" customFormat="false" ht="48" hidden="false" customHeight="true" outlineLevel="0" collapsed="false">
      <c r="A6" s="2" t="s">
        <v>64</v>
      </c>
      <c r="B6" s="2" t="s">
        <v>65</v>
      </c>
      <c r="C6" s="41" t="n">
        <v>60000</v>
      </c>
      <c r="D6" s="40" t="s">
        <v>32</v>
      </c>
      <c r="E6" s="2" t="s">
        <v>71</v>
      </c>
      <c r="F6" s="2" t="s">
        <v>73</v>
      </c>
    </row>
    <row r="7" customFormat="false" ht="48" hidden="false" customHeight="true" outlineLevel="0" collapsed="false">
      <c r="A7" s="5" t="s">
        <v>76</v>
      </c>
      <c r="B7" s="5" t="s">
        <v>77</v>
      </c>
      <c r="C7" s="39" t="n">
        <v>20000</v>
      </c>
      <c r="D7" s="40" t="s">
        <v>32</v>
      </c>
      <c r="E7" s="5" t="s">
        <v>26</v>
      </c>
      <c r="F7" s="5" t="s">
        <v>83</v>
      </c>
    </row>
    <row r="8" customFormat="false" ht="48" hidden="false" customHeight="true" outlineLevel="0" collapsed="false">
      <c r="A8" s="2" t="s">
        <v>89</v>
      </c>
      <c r="B8" s="2" t="s">
        <v>90</v>
      </c>
      <c r="C8" s="41" t="n">
        <v>25000</v>
      </c>
      <c r="D8" s="40" t="s">
        <v>32</v>
      </c>
      <c r="E8" s="2" t="s">
        <v>26</v>
      </c>
      <c r="F8" s="2" t="s">
        <v>96</v>
      </c>
    </row>
    <row r="9" customFormat="false" ht="48" hidden="false" customHeight="true" outlineLevel="0" collapsed="false">
      <c r="A9" s="5" t="s">
        <v>101</v>
      </c>
      <c r="B9" s="5" t="s">
        <v>102</v>
      </c>
      <c r="C9" s="39" t="n">
        <v>40000</v>
      </c>
      <c r="D9" s="42" t="s">
        <v>110</v>
      </c>
      <c r="E9" s="5" t="s">
        <v>26</v>
      </c>
      <c r="F9" s="5" t="s">
        <v>107</v>
      </c>
    </row>
    <row r="10" customFormat="false" ht="48" hidden="false" customHeight="true" outlineLevel="0" collapsed="false">
      <c r="A10" s="2" t="s">
        <v>113</v>
      </c>
      <c r="B10" s="2" t="s">
        <v>114</v>
      </c>
      <c r="C10" s="41" t="n">
        <v>15000</v>
      </c>
      <c r="D10" s="43" t="s">
        <v>121</v>
      </c>
      <c r="E10" s="2" t="s">
        <v>26</v>
      </c>
      <c r="F10" s="2" t="s">
        <v>58</v>
      </c>
    </row>
    <row r="11" customFormat="false" ht="48" hidden="false" customHeight="true" outlineLevel="0" collapsed="false">
      <c r="A11" s="5" t="s">
        <v>124</v>
      </c>
      <c r="B11" s="5" t="s">
        <v>125</v>
      </c>
      <c r="C11" s="39" t="n">
        <v>120000</v>
      </c>
      <c r="D11" s="42" t="s">
        <v>110</v>
      </c>
      <c r="E11" s="5" t="s">
        <v>131</v>
      </c>
      <c r="F11" s="5" t="s">
        <v>85</v>
      </c>
    </row>
    <row r="12" customFormat="false" ht="48" hidden="false" customHeight="true" outlineLevel="0" collapsed="false">
      <c r="A12" s="2" t="s">
        <v>134</v>
      </c>
      <c r="B12" s="2" t="s">
        <v>135</v>
      </c>
      <c r="C12" s="41" t="n">
        <v>75000</v>
      </c>
      <c r="D12" s="42" t="s">
        <v>110</v>
      </c>
      <c r="E12" s="2" t="s">
        <v>141</v>
      </c>
      <c r="F12" s="2" t="s">
        <v>142</v>
      </c>
    </row>
    <row r="13" customFormat="false" ht="48" hidden="false" customHeight="true" outlineLevel="0" collapsed="false">
      <c r="A13" s="5" t="s">
        <v>147</v>
      </c>
      <c r="B13" s="5" t="s">
        <v>148</v>
      </c>
      <c r="C13" s="39" t="n">
        <v>200000</v>
      </c>
      <c r="D13" s="40" t="s">
        <v>32</v>
      </c>
      <c r="E13" s="5" t="s">
        <v>154</v>
      </c>
      <c r="F13" s="5" t="s">
        <v>84</v>
      </c>
    </row>
    <row r="14" customFormat="false" ht="48" hidden="false" customHeight="true" outlineLevel="0" collapsed="false">
      <c r="A14" s="2" t="s">
        <v>157</v>
      </c>
      <c r="B14" s="2" t="s">
        <v>158</v>
      </c>
      <c r="C14" s="41" t="n">
        <v>300000</v>
      </c>
      <c r="D14" s="40" t="s">
        <v>32</v>
      </c>
      <c r="E14" s="2" t="s">
        <v>164</v>
      </c>
      <c r="F14" s="2" t="s">
        <v>29</v>
      </c>
    </row>
    <row r="15" customFormat="false" ht="48" hidden="false" customHeight="true" outlineLevel="0" collapsed="false">
      <c r="A15" s="5" t="s">
        <v>169</v>
      </c>
      <c r="B15" s="5" t="s">
        <v>170</v>
      </c>
      <c r="C15" s="39" t="n">
        <v>75000</v>
      </c>
      <c r="D15" s="40" t="s">
        <v>32</v>
      </c>
      <c r="E15" s="5" t="s">
        <v>176</v>
      </c>
      <c r="F15" s="5" t="s">
        <v>178</v>
      </c>
    </row>
    <row r="16" customFormat="false" ht="48" hidden="false" customHeight="true" outlineLevel="0" collapsed="false">
      <c r="A16" s="2" t="s">
        <v>182</v>
      </c>
      <c r="B16" s="2" t="s">
        <v>183</v>
      </c>
      <c r="C16" s="41" t="n">
        <v>1500000</v>
      </c>
      <c r="D16" s="40" t="s">
        <v>32</v>
      </c>
      <c r="E16" s="2" t="s">
        <v>164</v>
      </c>
      <c r="F16" s="2" t="s">
        <v>190</v>
      </c>
    </row>
    <row r="17" customFormat="false" ht="48" hidden="false" customHeight="true" outlineLevel="0" collapsed="false">
      <c r="A17" s="5" t="s">
        <v>194</v>
      </c>
      <c r="B17" s="5" t="s">
        <v>195</v>
      </c>
      <c r="C17" s="39" t="n">
        <v>5000000</v>
      </c>
      <c r="D17" s="42" t="s">
        <v>110</v>
      </c>
      <c r="E17" s="5" t="s">
        <v>164</v>
      </c>
      <c r="F17" s="5" t="s">
        <v>30</v>
      </c>
    </row>
    <row r="18" customFormat="false" ht="48" hidden="false" customHeight="true" outlineLevel="0" collapsed="false">
      <c r="A18" s="2" t="s">
        <v>205</v>
      </c>
      <c r="B18" s="2" t="s">
        <v>206</v>
      </c>
      <c r="C18" s="41" t="n">
        <v>2000000</v>
      </c>
      <c r="D18" s="40" t="s">
        <v>32</v>
      </c>
      <c r="E18" s="2" t="s">
        <v>176</v>
      </c>
      <c r="F18" s="2" t="s">
        <v>213</v>
      </c>
    </row>
    <row r="19" customFormat="false" ht="48" hidden="false" customHeight="true" outlineLevel="0" collapsed="false">
      <c r="A19" s="5" t="s">
        <v>216</v>
      </c>
      <c r="B19" s="5" t="s">
        <v>217</v>
      </c>
      <c r="C19" s="39" t="n">
        <v>300000</v>
      </c>
      <c r="D19" s="40" t="s">
        <v>32</v>
      </c>
      <c r="E19" s="5" t="s">
        <v>223</v>
      </c>
      <c r="F19" s="5" t="s">
        <v>225</v>
      </c>
    </row>
    <row r="20" customFormat="false" ht="48" hidden="false" customHeight="true" outlineLevel="0" collapsed="false">
      <c r="A20" s="2" t="s">
        <v>228</v>
      </c>
      <c r="B20" s="2" t="s">
        <v>229</v>
      </c>
      <c r="C20" s="41" t="n">
        <v>3000000</v>
      </c>
      <c r="D20" s="40" t="s">
        <v>32</v>
      </c>
      <c r="E20" s="2" t="s">
        <v>235</v>
      </c>
      <c r="F20" s="2" t="s">
        <v>73</v>
      </c>
    </row>
    <row r="21" customFormat="false" ht="48" hidden="false" customHeight="true" outlineLevel="0" collapsed="false">
      <c r="A21" s="5" t="s">
        <v>240</v>
      </c>
      <c r="B21" s="5" t="s">
        <v>241</v>
      </c>
      <c r="C21" s="39" t="n">
        <v>250000</v>
      </c>
      <c r="D21" s="40" t="s">
        <v>32</v>
      </c>
      <c r="E21" s="5" t="s">
        <v>247</v>
      </c>
      <c r="F21" s="5" t="s">
        <v>73</v>
      </c>
    </row>
    <row r="22" customFormat="false" ht="48" hidden="false" customHeight="true" outlineLevel="0" collapsed="false">
      <c r="A22" s="2" t="s">
        <v>252</v>
      </c>
      <c r="B22" s="2" t="s">
        <v>253</v>
      </c>
      <c r="C22" s="41" t="n">
        <v>500000</v>
      </c>
      <c r="D22" s="42" t="s">
        <v>110</v>
      </c>
      <c r="E22" s="2" t="s">
        <v>176</v>
      </c>
      <c r="F22" s="2" t="s">
        <v>97</v>
      </c>
    </row>
    <row r="23" customFormat="false" ht="48" hidden="false" customHeight="true" outlineLevel="0" collapsed="false">
      <c r="A23" s="5" t="s">
        <v>264</v>
      </c>
      <c r="B23" s="5" t="s">
        <v>265</v>
      </c>
      <c r="C23" s="39" t="n">
        <v>1000000</v>
      </c>
      <c r="D23" s="40" t="s">
        <v>32</v>
      </c>
      <c r="E23" s="5" t="s">
        <v>271</v>
      </c>
      <c r="F23" s="5" t="s">
        <v>73</v>
      </c>
    </row>
    <row r="24" customFormat="false" ht="48" hidden="false" customHeight="true" outlineLevel="0" collapsed="false">
      <c r="A24" s="2" t="s">
        <v>275</v>
      </c>
      <c r="B24" s="2" t="s">
        <v>206</v>
      </c>
      <c r="C24" s="41" t="n">
        <v>500000</v>
      </c>
      <c r="D24" s="40" t="s">
        <v>32</v>
      </c>
      <c r="E24" s="2" t="s">
        <v>280</v>
      </c>
      <c r="F24" s="2" t="s">
        <v>96</v>
      </c>
    </row>
    <row r="25" customFormat="false" ht="48" hidden="false" customHeight="true" outlineLevel="0" collapsed="false">
      <c r="A25" s="5" t="s">
        <v>284</v>
      </c>
      <c r="B25" s="5" t="s">
        <v>285</v>
      </c>
      <c r="C25" s="39" t="n">
        <v>150000</v>
      </c>
      <c r="D25" s="40" t="s">
        <v>32</v>
      </c>
      <c r="E25" s="5" t="s">
        <v>291</v>
      </c>
      <c r="F25" s="5" t="s">
        <v>43</v>
      </c>
    </row>
    <row r="26" customFormat="false" ht="48" hidden="false" customHeight="true" outlineLevel="0" collapsed="false">
      <c r="A26" s="2" t="s">
        <v>295</v>
      </c>
      <c r="B26" s="2" t="s">
        <v>217</v>
      </c>
      <c r="C26" s="41" t="n">
        <v>60000</v>
      </c>
      <c r="D26" s="40" t="s">
        <v>32</v>
      </c>
      <c r="E26" s="2" t="s">
        <v>280</v>
      </c>
      <c r="F26" s="2" t="s">
        <v>84</v>
      </c>
    </row>
    <row r="27" customFormat="false" ht="48" hidden="false" customHeight="true" outlineLevel="0" collapsed="false">
      <c r="A27" s="5" t="s">
        <v>302</v>
      </c>
      <c r="B27" s="5" t="s">
        <v>303</v>
      </c>
      <c r="C27" s="39" t="n">
        <v>2000000</v>
      </c>
      <c r="D27" s="42" t="s">
        <v>110</v>
      </c>
      <c r="E27" s="5" t="s">
        <v>309</v>
      </c>
      <c r="F27" s="5" t="s">
        <v>310</v>
      </c>
    </row>
    <row r="28" customFormat="false" ht="48" hidden="false" customHeight="true" outlineLevel="0" collapsed="false">
      <c r="A28" s="2" t="s">
        <v>315</v>
      </c>
      <c r="B28" s="2" t="s">
        <v>316</v>
      </c>
      <c r="C28" s="41" t="n">
        <v>1000000</v>
      </c>
      <c r="D28" s="42" t="s">
        <v>110</v>
      </c>
      <c r="E28" s="2" t="s">
        <v>321</v>
      </c>
      <c r="F28" s="2" t="s">
        <v>85</v>
      </c>
    </row>
    <row r="29" customFormat="false" ht="48" hidden="false" customHeight="true" outlineLevel="0" collapsed="false">
      <c r="A29" s="5" t="s">
        <v>326</v>
      </c>
      <c r="B29" s="5" t="s">
        <v>327</v>
      </c>
      <c r="C29" s="39" t="n">
        <v>100000</v>
      </c>
      <c r="D29" s="40" t="s">
        <v>32</v>
      </c>
      <c r="E29" s="5" t="s">
        <v>333</v>
      </c>
      <c r="F29" s="5" t="s">
        <v>28</v>
      </c>
    </row>
    <row r="30" customFormat="false" ht="48" hidden="false" customHeight="true" outlineLevel="0" collapsed="false">
      <c r="A30" s="2" t="s">
        <v>338</v>
      </c>
      <c r="B30" s="2" t="s">
        <v>339</v>
      </c>
      <c r="C30" s="41" t="n">
        <v>500000</v>
      </c>
      <c r="D30" s="40" t="s">
        <v>32</v>
      </c>
      <c r="E30" s="2" t="s">
        <v>280</v>
      </c>
      <c r="F30" s="2" t="s">
        <v>29</v>
      </c>
    </row>
    <row r="31" customFormat="false" ht="48" hidden="false" customHeight="true" outlineLevel="0" collapsed="false">
      <c r="A31" s="5" t="s">
        <v>346</v>
      </c>
      <c r="B31" s="5" t="s">
        <v>347</v>
      </c>
      <c r="C31" s="39" t="n">
        <v>300000</v>
      </c>
      <c r="D31" s="42" t="s">
        <v>110</v>
      </c>
      <c r="E31" s="5" t="s">
        <v>352</v>
      </c>
      <c r="F31" s="5" t="s">
        <v>59</v>
      </c>
    </row>
    <row r="32" customFormat="false" ht="48" hidden="false" customHeight="true" outlineLevel="0" collapsed="false">
      <c r="A32" s="2" t="s">
        <v>356</v>
      </c>
      <c r="B32" s="2" t="s">
        <v>357</v>
      </c>
      <c r="C32" s="41" t="n">
        <v>50000</v>
      </c>
      <c r="D32" s="43" t="s">
        <v>121</v>
      </c>
      <c r="E32" s="2" t="s">
        <v>363</v>
      </c>
      <c r="F32" s="2" t="s">
        <v>28</v>
      </c>
    </row>
    <row r="33" customFormat="false" ht="48" hidden="false" customHeight="true" outlineLevel="0" collapsed="false">
      <c r="A33" s="5" t="s">
        <v>366</v>
      </c>
      <c r="B33" s="5" t="s">
        <v>367</v>
      </c>
      <c r="C33" s="39" t="n">
        <v>200000</v>
      </c>
      <c r="D33" s="42" t="s">
        <v>110</v>
      </c>
      <c r="E33" s="5" t="s">
        <v>280</v>
      </c>
      <c r="F33" s="5" t="s">
        <v>44</v>
      </c>
    </row>
    <row r="34" customFormat="false" ht="48" hidden="false" customHeight="true" outlineLevel="0" collapsed="false">
      <c r="A34" s="2" t="s">
        <v>374</v>
      </c>
      <c r="B34" s="2" t="s">
        <v>375</v>
      </c>
      <c r="C34" s="41" t="n">
        <v>250000</v>
      </c>
      <c r="D34" s="40" t="s">
        <v>32</v>
      </c>
      <c r="E34" s="2" t="s">
        <v>380</v>
      </c>
      <c r="F34" s="2" t="s">
        <v>335</v>
      </c>
    </row>
    <row r="35" customFormat="false" ht="48" hidden="false" customHeight="true" outlineLevel="0" collapsed="false">
      <c r="A35" s="5" t="s">
        <v>383</v>
      </c>
      <c r="B35" s="5" t="s">
        <v>384</v>
      </c>
      <c r="C35" s="39" t="n">
        <v>400000</v>
      </c>
      <c r="D35" s="42" t="s">
        <v>110</v>
      </c>
      <c r="E35" s="5" t="s">
        <v>390</v>
      </c>
      <c r="F35" s="5" t="s">
        <v>30</v>
      </c>
    </row>
    <row r="36" customFormat="false" ht="48" hidden="false" customHeight="true" outlineLevel="0" collapsed="false">
      <c r="A36" s="2" t="s">
        <v>394</v>
      </c>
      <c r="B36" s="2" t="s">
        <v>395</v>
      </c>
      <c r="C36" s="41" t="n">
        <v>500000</v>
      </c>
      <c r="D36" s="40" t="s">
        <v>32</v>
      </c>
      <c r="E36" s="2" t="s">
        <v>401</v>
      </c>
      <c r="F36" s="2" t="s">
        <v>84</v>
      </c>
    </row>
    <row r="37" customFormat="false" ht="48" hidden="false" customHeight="true" outlineLevel="0" collapsed="false">
      <c r="A37" s="5" t="s">
        <v>404</v>
      </c>
      <c r="B37" s="5" t="s">
        <v>405</v>
      </c>
      <c r="C37" s="39" t="n">
        <v>750000</v>
      </c>
      <c r="D37" s="42" t="s">
        <v>110</v>
      </c>
      <c r="E37" s="5" t="s">
        <v>271</v>
      </c>
      <c r="F37" s="5" t="s">
        <v>142</v>
      </c>
    </row>
    <row r="38" customFormat="false" ht="48" hidden="false" customHeight="true" outlineLevel="0" collapsed="false">
      <c r="A38" s="2" t="s">
        <v>414</v>
      </c>
      <c r="B38" s="2" t="s">
        <v>415</v>
      </c>
      <c r="C38" s="41" t="n">
        <v>1000000</v>
      </c>
      <c r="D38" s="42" t="s">
        <v>110</v>
      </c>
      <c r="E38" s="2" t="s">
        <v>421</v>
      </c>
      <c r="F38" s="2" t="s">
        <v>85</v>
      </c>
    </row>
    <row r="39" customFormat="false" ht="48" hidden="false" customHeight="true" outlineLevel="0" collapsed="false">
      <c r="A39" s="5" t="s">
        <v>424</v>
      </c>
      <c r="B39" s="5" t="s">
        <v>425</v>
      </c>
      <c r="C39" s="39" t="n">
        <v>2000000</v>
      </c>
      <c r="D39" s="42" t="s">
        <v>110</v>
      </c>
      <c r="E39" s="5" t="s">
        <v>431</v>
      </c>
      <c r="F39" s="5" t="s">
        <v>272</v>
      </c>
    </row>
    <row r="40" customFormat="false" ht="48" hidden="false" customHeight="true" outlineLevel="0" collapsed="false">
      <c r="A40" s="2" t="s">
        <v>436</v>
      </c>
      <c r="B40" s="2" t="s">
        <v>437</v>
      </c>
      <c r="C40" s="41" t="n">
        <v>200000</v>
      </c>
      <c r="D40" s="40" t="s">
        <v>32</v>
      </c>
      <c r="E40" s="2" t="s">
        <v>176</v>
      </c>
      <c r="F40" s="2" t="s">
        <v>58</v>
      </c>
    </row>
    <row r="41" customFormat="false" ht="48" hidden="false" customHeight="true" outlineLevel="0" collapsed="false">
      <c r="A41" s="5" t="s">
        <v>444</v>
      </c>
      <c r="B41" s="5" t="s">
        <v>445</v>
      </c>
      <c r="C41" s="39" t="n">
        <v>500000</v>
      </c>
      <c r="D41" s="40" t="s">
        <v>32</v>
      </c>
      <c r="E41" s="5" t="s">
        <v>450</v>
      </c>
      <c r="F41" s="5" t="s">
        <v>213</v>
      </c>
    </row>
    <row r="42" customFormat="false" ht="48" hidden="false" customHeight="true" outlineLevel="0" collapsed="false">
      <c r="A42" s="2" t="s">
        <v>453</v>
      </c>
      <c r="B42" s="2" t="s">
        <v>454</v>
      </c>
      <c r="C42" s="41" t="n">
        <v>150000</v>
      </c>
      <c r="D42" s="40" t="s">
        <v>32</v>
      </c>
      <c r="E42" s="2" t="s">
        <v>176</v>
      </c>
      <c r="F42" s="2" t="s">
        <v>73</v>
      </c>
    </row>
    <row r="43" customFormat="false" ht="48" hidden="false" customHeight="true" outlineLevel="0" collapsed="false">
      <c r="A43" s="5" t="s">
        <v>462</v>
      </c>
      <c r="B43" s="5" t="s">
        <v>463</v>
      </c>
      <c r="C43" s="39" t="n">
        <v>200000</v>
      </c>
      <c r="D43" s="40" t="s">
        <v>32</v>
      </c>
      <c r="E43" s="5" t="s">
        <v>469</v>
      </c>
      <c r="F43" s="5" t="s">
        <v>335</v>
      </c>
    </row>
    <row r="44" customFormat="false" ht="48" hidden="false" customHeight="true" outlineLevel="0" collapsed="false">
      <c r="A44" s="2" t="s">
        <v>472</v>
      </c>
      <c r="B44" s="2" t="s">
        <v>473</v>
      </c>
      <c r="C44" s="41" t="n">
        <v>100000</v>
      </c>
      <c r="D44" s="42" t="s">
        <v>110</v>
      </c>
      <c r="E44" s="2" t="s">
        <v>479</v>
      </c>
      <c r="F44" s="2" t="s">
        <v>97</v>
      </c>
    </row>
    <row r="45" customFormat="false" ht="48" hidden="false" customHeight="true" outlineLevel="0" collapsed="false">
      <c r="A45" s="5" t="s">
        <v>483</v>
      </c>
      <c r="B45" s="5" t="s">
        <v>484</v>
      </c>
      <c r="C45" s="39" t="n">
        <v>30000</v>
      </c>
      <c r="D45" s="40" t="s">
        <v>32</v>
      </c>
      <c r="E45" s="5" t="s">
        <v>490</v>
      </c>
      <c r="F45" s="5" t="s">
        <v>43</v>
      </c>
    </row>
    <row r="46" customFormat="false" ht="48" hidden="false" customHeight="true" outlineLevel="0" collapsed="false">
      <c r="A46" s="2" t="s">
        <v>493</v>
      </c>
      <c r="B46" s="2" t="s">
        <v>494</v>
      </c>
      <c r="C46" s="41" t="n">
        <v>25000</v>
      </c>
      <c r="D46" s="42" t="s">
        <v>110</v>
      </c>
      <c r="E46" s="2" t="s">
        <v>176</v>
      </c>
      <c r="F46" s="2" t="s">
        <v>29</v>
      </c>
    </row>
    <row r="47" customFormat="false" ht="48" hidden="false" customHeight="true" outlineLevel="0" collapsed="false">
      <c r="A47" s="5" t="s">
        <v>502</v>
      </c>
      <c r="B47" s="5" t="s">
        <v>503</v>
      </c>
      <c r="C47" s="39" t="n">
        <v>1000000</v>
      </c>
      <c r="D47" s="42" t="s">
        <v>110</v>
      </c>
      <c r="E47" s="5" t="s">
        <v>154</v>
      </c>
      <c r="F47" s="5" t="s">
        <v>44</v>
      </c>
    </row>
    <row r="48" customFormat="false" ht="48" hidden="false" customHeight="true" outlineLevel="0" collapsed="false">
      <c r="A48" s="2" t="s">
        <v>511</v>
      </c>
      <c r="B48" s="2" t="s">
        <v>512</v>
      </c>
      <c r="C48" s="41" t="n">
        <v>200000</v>
      </c>
      <c r="D48" s="40" t="s">
        <v>32</v>
      </c>
      <c r="E48" s="2" t="s">
        <v>176</v>
      </c>
      <c r="F48" s="2" t="s">
        <v>44</v>
      </c>
    </row>
    <row r="49" customFormat="false" ht="48" hidden="false" customHeight="true" outlineLevel="0" collapsed="false">
      <c r="A49" s="5" t="s">
        <v>520</v>
      </c>
      <c r="B49" s="5" t="s">
        <v>521</v>
      </c>
      <c r="C49" s="39" t="n">
        <v>80000</v>
      </c>
      <c r="D49" s="40" t="s">
        <v>32</v>
      </c>
      <c r="E49" s="5" t="s">
        <v>176</v>
      </c>
      <c r="F49" s="5" t="s">
        <v>178</v>
      </c>
    </row>
    <row r="50" customFormat="false" ht="48" hidden="false" customHeight="true" outlineLevel="0" collapsed="false">
      <c r="A50" s="2" t="s">
        <v>528</v>
      </c>
      <c r="B50" s="2" t="s">
        <v>529</v>
      </c>
      <c r="C50" s="41" t="n">
        <v>40000</v>
      </c>
      <c r="D50" s="42" t="s">
        <v>110</v>
      </c>
      <c r="E50" s="2" t="s">
        <v>535</v>
      </c>
      <c r="F50" s="2" t="s">
        <v>536</v>
      </c>
    </row>
    <row r="51" customFormat="false" ht="48" hidden="false" customHeight="true" outlineLevel="0" collapsed="false">
      <c r="A51" s="5" t="s">
        <v>540</v>
      </c>
      <c r="B51" s="5" t="s">
        <v>541</v>
      </c>
      <c r="C51" s="39" t="n">
        <v>300000</v>
      </c>
      <c r="D51" s="42" t="s">
        <v>110</v>
      </c>
      <c r="E51" s="5" t="s">
        <v>176</v>
      </c>
      <c r="F51" s="5" t="s">
        <v>45</v>
      </c>
    </row>
    <row r="52" customFormat="false" ht="48" hidden="false" customHeight="true" outlineLevel="0" collapsed="false">
      <c r="A52" s="2" t="s">
        <v>550</v>
      </c>
      <c r="B52" s="2" t="s">
        <v>551</v>
      </c>
      <c r="C52" s="41" t="n">
        <v>600000</v>
      </c>
      <c r="D52" s="40" t="s">
        <v>32</v>
      </c>
      <c r="E52" s="2" t="s">
        <v>556</v>
      </c>
      <c r="F52" s="2" t="s">
        <v>142</v>
      </c>
    </row>
  </sheetData>
  <autoFilter ref="A2:F52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2026-05-14T21:14:05Z</dcterms:created>
  <dc:creator>openpyxl</dc:creator>
  <dc:description/>
  <dc:language>en-US</dc:language>
  <cp:lastModifiedBy/>
  <dcterms:modified xsi:type="dcterms:W3CDTF">2026-05-14T21:14:05Z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