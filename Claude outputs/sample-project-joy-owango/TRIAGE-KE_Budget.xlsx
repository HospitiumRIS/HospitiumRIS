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Budget Detai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4" authorId="0">
      <text>
        <r>
          <rPr>
            <sz val="10"/>
            <rFont val="Arial"/>
            <family val="2"/>
          </rPr>
          <t xml:space="preserve">Unit costs are illustrative planning estimates for test data, not quotes.</t>
        </r>
      </text>
    </comment>
  </commentList>
</comments>
</file>

<file path=xl/sharedStrings.xml><?xml version="1.0" encoding="utf-8"?>
<sst xmlns="http://schemas.openxmlformats.org/spreadsheetml/2006/main" count="235" uniqueCount="171">
  <si>
    <t xml:space="preserve">TRIAGE-KE — Budget Summary</t>
  </si>
  <si>
    <t xml:space="preserve">AI-Assisted Triage in Kenyan County Referral Hospitals · PI: Joy Owango · SAMPLE / TEST DATA</t>
  </si>
  <si>
    <t xml:space="preserve">Category</t>
  </si>
  <si>
    <t xml:space="preserve">Year 1 (KES)</t>
  </si>
  <si>
    <t xml:space="preserve">Year 2 (KES)</t>
  </si>
  <si>
    <t xml:space="preserve">Total (KES)</t>
  </si>
  <si>
    <t xml:space="preserve">% of total</t>
  </si>
  <si>
    <t xml:space="preserve">Total (USD)</t>
  </si>
  <si>
    <t xml:space="preserve">A. Personnel</t>
  </si>
  <si>
    <t xml:space="preserve">B. Equipment &amp; Software</t>
  </si>
  <si>
    <t xml:space="preserve">C. Travel &amp; Subsistence</t>
  </si>
  <si>
    <t xml:space="preserve">D. Training &amp; Capacity Building</t>
  </si>
  <si>
    <t xml:space="preserve">E. Participant-related Costs</t>
  </si>
  <si>
    <t xml:space="preserve">F. Ethics, Regulatory &amp; Data Protection</t>
  </si>
  <si>
    <t xml:space="preserve">G. Dissemination</t>
  </si>
  <si>
    <t xml:space="preserve">H. Other Direct Costs</t>
  </si>
  <si>
    <t xml:space="preserve">Total Direct Costs</t>
  </si>
  <si>
    <t xml:space="preserve">Contingency</t>
  </si>
  <si>
    <t xml:space="preserve">Indirect costs (institutional overhead)</t>
  </si>
  <si>
    <t xml:space="preserve">GRAND TOTAL</t>
  </si>
  <si>
    <t xml:space="preserve">Check: detail direct total minus summary direct total (should be 0)</t>
  </si>
  <si>
    <t xml:space="preserve">TRIAGE-KE Budget — Assumptions</t>
  </si>
  <si>
    <t xml:space="preserve">SAMPLE / TEST DATA for HospitiumRIS. Fictional funder, figures illustrative only.</t>
  </si>
  <si>
    <t xml:space="preserve">Assumption</t>
  </si>
  <si>
    <t xml:space="preserve">Value</t>
  </si>
  <si>
    <t xml:space="preserve">Note</t>
  </si>
  <si>
    <t xml:space="preserve">Project duration (months)</t>
  </si>
  <si>
    <t xml:space="preserve">Proposal: 25 Oct 2026 – 24 Apr 2028</t>
  </si>
  <si>
    <t xml:space="preserve">Indirect cost rate (on direct costs)</t>
  </si>
  <si>
    <t xml:space="preserve">Funder cap (fictional HDHIF guidelines)</t>
  </si>
  <si>
    <t xml:space="preserve">Exchange rate (KES per USD)</t>
  </si>
  <si>
    <t xml:space="preserve">Planning rate; update as needed</t>
  </si>
  <si>
    <t xml:space="preserve">Contingency rate (on direct costs)</t>
  </si>
  <si>
    <t xml:space="preserve">Covers price/FX movement</t>
  </si>
  <si>
    <t xml:space="preserve">Currency</t>
  </si>
  <si>
    <t xml:space="preserve">KES</t>
  </si>
  <si>
    <t xml:space="preserve">Kenya Shillings</t>
  </si>
  <si>
    <t xml:space="preserve">Legend: blue text on yellow = editable input; black = formula; green = link from another sheet.</t>
  </si>
  <si>
    <t xml:space="preserve">TRIAGE-KE — Detailed Budget (KES)</t>
  </si>
  <si>
    <t xml:space="preserve">PI: Joy Owango · Grant HDHIF/2026/017 · Funder: Hospitium Digital Health Innovation Fund (Demo) · SAMPLE DATA</t>
  </si>
  <si>
    <t xml:space="preserve">Code</t>
  </si>
  <si>
    <t xml:space="preserve">Line item</t>
  </si>
  <si>
    <t xml:space="preserve">Unit</t>
  </si>
  <si>
    <t xml:space="preserve">Qty</t>
  </si>
  <si>
    <t xml:space="preserve">Unit cost (KES)</t>
  </si>
  <si>
    <t xml:space="preserve">Effort / % </t>
  </si>
  <si>
    <t xml:space="preserve">Months / Freq</t>
  </si>
  <si>
    <t xml:space="preserve">Year 1 share</t>
  </si>
  <si>
    <t xml:space="preserve">Justification</t>
  </si>
  <si>
    <t xml:space="preserve">A1</t>
  </si>
  <si>
    <t xml:space="preserve">Principal Investigator (Joy Owango)</t>
  </si>
  <si>
    <t xml:space="preserve">person-month</t>
  </si>
  <si>
    <t xml:space="preserve">Overall leadership, stakeholder engagement, reporting</t>
  </si>
  <si>
    <t xml:space="preserve">A2</t>
  </si>
  <si>
    <t xml:space="preserve">Co-I Emergency Medicine (Dr Amani Wekesa)</t>
  </si>
  <si>
    <t xml:space="preserve">Clinical lead, reference-standard triage panel</t>
  </si>
  <si>
    <t xml:space="preserve">A3</t>
  </si>
  <si>
    <t xml:space="preserve">Co-I Health Informatics (Dr Faith Chebet)</t>
  </si>
  <si>
    <t xml:space="preserve">Tool integration, data pipelines, model monitoring</t>
  </si>
  <si>
    <t xml:space="preserve">A4</t>
  </si>
  <si>
    <t xml:space="preserve">Co-I Biostatistics (Prof Daniel Mbugua)</t>
  </si>
  <si>
    <t xml:space="preserve">Study design, ITS analysis</t>
  </si>
  <si>
    <t xml:space="preserve">A5</t>
  </si>
  <si>
    <t xml:space="preserve">Co-I Nursing (Ms Grace Kamau)</t>
  </si>
  <si>
    <t xml:space="preserve">Triage nurse training and fidelity checks</t>
  </si>
  <si>
    <t xml:space="preserve">A6</t>
  </si>
  <si>
    <t xml:space="preserve">Project Coordinator</t>
  </si>
  <si>
    <t xml:space="preserve">Day-to-day management across 3 sites</t>
  </si>
  <si>
    <t xml:space="preserve">A7</t>
  </si>
  <si>
    <t xml:space="preserve">Research Assistants (2 per site)</t>
  </si>
  <si>
    <t xml:space="preserve">Data abstraction &amp; observation, Dec 2026 – Aug 2027</t>
  </si>
  <si>
    <t xml:space="preserve">A8</t>
  </si>
  <si>
    <t xml:space="preserve">Data Manager</t>
  </si>
  <si>
    <t xml:space="preserve">REDCap build, QA, de-identification</t>
  </si>
  <si>
    <t xml:space="preserve">A9</t>
  </si>
  <si>
    <t xml:space="preserve">ML Engineer</t>
  </si>
  <si>
    <t xml:space="preserve">Model calibration, drift monitoring</t>
  </si>
  <si>
    <t xml:space="preserve">Subtotal — A. Personnel</t>
  </si>
  <si>
    <t xml:space="preserve">B1</t>
  </si>
  <si>
    <t xml:space="preserve">Ruggedised tablets for triage desks</t>
  </si>
  <si>
    <t xml:space="preserve">unit</t>
  </si>
  <si>
    <t xml:space="preserve">3 per site; run triage app offline-first</t>
  </si>
  <si>
    <t xml:space="preserve">B2</t>
  </si>
  <si>
    <t xml:space="preserve">Automated vital-signs monitors</t>
  </si>
  <si>
    <t xml:space="preserve">1 per site; standardised inputs to model</t>
  </si>
  <si>
    <t xml:space="preserve">B3</t>
  </si>
  <si>
    <t xml:space="preserve">Encrypted analysis laptops</t>
  </si>
  <si>
    <t xml:space="preserve">Data manager &amp; ML engineer</t>
  </si>
  <si>
    <t xml:space="preserve">B4</t>
  </si>
  <si>
    <t xml:space="preserve">Cloud hosting (in-country region) &amp; backups</t>
  </si>
  <si>
    <t xml:space="preserve">month</t>
  </si>
  <si>
    <t xml:space="preserve">Kenya Data Protection Act compliant hosting</t>
  </si>
  <si>
    <t xml:space="preserve">B5</t>
  </si>
  <si>
    <t xml:space="preserve">REDCap / survey licences &amp; support</t>
  </si>
  <si>
    <t xml:space="preserve">year</t>
  </si>
  <si>
    <t xml:space="preserve">Annual support fee</t>
  </si>
  <si>
    <t xml:space="preserve">Subtotal — B. Equipment &amp; Software</t>
  </si>
  <si>
    <t xml:space="preserve">C1</t>
  </si>
  <si>
    <t xml:space="preserve">Site supervision trips</t>
  </si>
  <si>
    <t xml:space="preserve">trip</t>
  </si>
  <si>
    <t xml:space="preserve">Monthly visit to each site</t>
  </si>
  <si>
    <t xml:space="preserve">C2</t>
  </si>
  <si>
    <t xml:space="preserve">Per diem — supervision</t>
  </si>
  <si>
    <t xml:space="preserve">night</t>
  </si>
  <si>
    <t xml:space="preserve">2 nights per trip</t>
  </si>
  <si>
    <t xml:space="preserve">C3</t>
  </si>
  <si>
    <t xml:space="preserve">Research assistant local transport</t>
  </si>
  <si>
    <t xml:space="preserve">Commuting to EDs</t>
  </si>
  <si>
    <t xml:space="preserve">Subtotal — C. Travel &amp; Subsistence</t>
  </si>
  <si>
    <t xml:space="preserve">D1</t>
  </si>
  <si>
    <t xml:space="preserve">Clinician training workshop (initial)</t>
  </si>
  <si>
    <t xml:space="preserve">workshop</t>
  </si>
  <si>
    <t xml:space="preserve">1 per site, ~25 staff each</t>
  </si>
  <si>
    <t xml:space="preserve">D2</t>
  </si>
  <si>
    <t xml:space="preserve">Refresher training</t>
  </si>
  <si>
    <t xml:space="preserve">Month 4 of implementation</t>
  </si>
  <si>
    <t xml:space="preserve">D3</t>
  </si>
  <si>
    <t xml:space="preserve">Good Clinical Practice &amp; data-protection certification</t>
  </si>
  <si>
    <t xml:space="preserve">person</t>
  </si>
  <si>
    <t xml:space="preserve">Study staff</t>
  </si>
  <si>
    <t xml:space="preserve">Subtotal — D. Training &amp; Capacity Building</t>
  </si>
  <si>
    <t xml:space="preserve">E1</t>
  </si>
  <si>
    <t xml:space="preserve">Interview participant refreshments &amp; transport</t>
  </si>
  <si>
    <t xml:space="preserve">participant</t>
  </si>
  <si>
    <t xml:space="preserve">Key-informant interviews</t>
  </si>
  <si>
    <t xml:space="preserve">E2</t>
  </si>
  <si>
    <t xml:space="preserve">Survey participant token</t>
  </si>
  <si>
    <t xml:space="preserve">Clinician acceptability survey</t>
  </si>
  <si>
    <t xml:space="preserve">E3</t>
  </si>
  <si>
    <t xml:space="preserve">Interview transcription &amp; translation</t>
  </si>
  <si>
    <t xml:space="preserve">interview</t>
  </si>
  <si>
    <t xml:space="preserve">Kiswahili/English</t>
  </si>
  <si>
    <t xml:space="preserve">Subtotal — E. Participant-related Costs</t>
  </si>
  <si>
    <t xml:space="preserve">F1</t>
  </si>
  <si>
    <t xml:space="preserve">Ethics review fee (NREIB — Demo)</t>
  </si>
  <si>
    <t xml:space="preserve">application</t>
  </si>
  <si>
    <t xml:space="preserve">Initial review</t>
  </si>
  <si>
    <t xml:space="preserve">F2</t>
  </si>
  <si>
    <t xml:space="preserve">Annual ethics renewal fee</t>
  </si>
  <si>
    <t xml:space="preserve">renewal</t>
  </si>
  <si>
    <t xml:space="preserve">Year 2 continuing review</t>
  </si>
  <si>
    <t xml:space="preserve">F3</t>
  </si>
  <si>
    <t xml:space="preserve">Data Protection Impact Assessment</t>
  </si>
  <si>
    <t xml:space="preserve">lump sum</t>
  </si>
  <si>
    <t xml:space="preserve">External DPIA consultant</t>
  </si>
  <si>
    <t xml:space="preserve">Subtotal — F. Ethics, Regulatory &amp; Data Protection</t>
  </si>
  <si>
    <t xml:space="preserve">G1</t>
  </si>
  <si>
    <t xml:space="preserve">Open-access article processing charges</t>
  </si>
  <si>
    <t xml:space="preserve">article</t>
  </si>
  <si>
    <t xml:space="preserve">Two manuscripts</t>
  </si>
  <si>
    <t xml:space="preserve">G2</t>
  </si>
  <si>
    <t xml:space="preserve">Conference attendance (regional)</t>
  </si>
  <si>
    <t xml:space="preserve">Abstract presentation, 2028</t>
  </si>
  <si>
    <t xml:space="preserve">G3</t>
  </si>
  <si>
    <t xml:space="preserve">County stakeholder dissemination workshop</t>
  </si>
  <si>
    <t xml:space="preserve">Results to county health teams</t>
  </si>
  <si>
    <t xml:space="preserve">G4</t>
  </si>
  <si>
    <t xml:space="preserve">Policy brief design &amp; printing</t>
  </si>
  <si>
    <t xml:space="preserve">For MoH Digital Health directorate</t>
  </si>
  <si>
    <t xml:space="preserve">Subtotal — G. Dissemination</t>
  </si>
  <si>
    <t xml:space="preserve">H1</t>
  </si>
  <si>
    <t xml:space="preserve">Communications &amp; internet</t>
  </si>
  <si>
    <t xml:space="preserve">Coordination &amp; secure VPN</t>
  </si>
  <si>
    <t xml:space="preserve">H2</t>
  </si>
  <si>
    <t xml:space="preserve">Stationery &amp; printing (consent forms, CRFs)</t>
  </si>
  <si>
    <t xml:space="preserve">H3</t>
  </si>
  <si>
    <t xml:space="preserve">Audit fees</t>
  </si>
  <si>
    <t xml:space="preserve">Annual financial audit</t>
  </si>
  <si>
    <t xml:space="preserve">Subtotal — H. Other Direct Costs</t>
  </si>
  <si>
    <t xml:space="preserve">TOTAL DIRECT COSTS</t>
  </si>
  <si>
    <t xml:space="preserve">Note: Year 1 = 25 Oct 2026 – 24 Oct 2027; Year 2 = 25 Oct 2027 – 24 Apr 2028. Year-1 share is an input per line.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</si>
</sst>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\(#,##0\);\-"/>
    <numFmt numFmtId="166" formatCode="0.0%;\(0.0%\);\-"/>
    <numFmt numFmtId="167" formatCode="\$#,##0;&quot;($&quot;#,##0\);\-"/>
    <numFmt numFmtId="168" formatCode="0"/>
    <numFmt numFmtId="169" formatCode="0.00"/>
    <numFmt numFmtId="170" formatCode="@"/>
    <numFmt numFmtId="171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C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6"/>
    <col collapsed="false" customWidth="true" hidden="false" outlineLevel="0" max="5" min="5" style="0" width="11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n">
        <f aca="false">'Budget Detail'!K15</f>
        <v>12062610</v>
      </c>
      <c r="C5" s="5" t="n">
        <f aca="false">'Budget Detail'!L15</f>
        <v>4056390</v>
      </c>
      <c r="D5" s="5" t="n">
        <f aca="false">'Budget Detail'!I15</f>
        <v>16119000</v>
      </c>
      <c r="E5" s="6" t="n">
        <f aca="false">IF($D$16=0,0,D5/$D$16)</f>
        <v>0.597195083727351</v>
      </c>
      <c r="F5" s="7" t="n">
        <f aca="false">D5/Assumptions!$B$7</f>
        <v>124953.488372093</v>
      </c>
    </row>
    <row r="6" customFormat="false" ht="15" hidden="false" customHeight="false" outlineLevel="0" collapsed="false">
      <c r="A6" s="4" t="s">
        <v>9</v>
      </c>
      <c r="B6" s="5" t="n">
        <f aca="false">'Budget Detail'!K23</f>
        <v>1998600</v>
      </c>
      <c r="C6" s="5" t="n">
        <f aca="false">'Budget Detail'!L23</f>
        <v>446400</v>
      </c>
      <c r="D6" s="5" t="n">
        <f aca="false">'Budget Detail'!I23</f>
        <v>2445000</v>
      </c>
      <c r="E6" s="6" t="n">
        <f aca="false">IF($D$16=0,0,D6/$D$16)</f>
        <v>0.0905851467034787</v>
      </c>
      <c r="F6" s="7" t="n">
        <f aca="false">D6/Assumptions!$B$7</f>
        <v>18953.488372093</v>
      </c>
    </row>
    <row r="7" customFormat="false" ht="15" hidden="false" customHeight="false" outlineLevel="0" collapsed="false">
      <c r="A7" s="4" t="s">
        <v>10</v>
      </c>
      <c r="B7" s="5" t="n">
        <f aca="false">'Budget Detail'!K29</f>
        <v>1188000</v>
      </c>
      <c r="C7" s="5" t="n">
        <f aca="false">'Budget Detail'!L29</f>
        <v>288000</v>
      </c>
      <c r="D7" s="5" t="n">
        <f aca="false">'Budget Detail'!I29</f>
        <v>1476000</v>
      </c>
      <c r="E7" s="6" t="n">
        <f aca="false">IF($D$16=0,0,D7/$D$16)</f>
        <v>0.0546845302798914</v>
      </c>
      <c r="F7" s="7" t="n">
        <f aca="false">D7/Assumptions!$B$7</f>
        <v>11441.8604651163</v>
      </c>
    </row>
    <row r="8" customFormat="false" ht="15" hidden="false" customHeight="false" outlineLevel="0" collapsed="false">
      <c r="A8" s="4" t="s">
        <v>11</v>
      </c>
      <c r="B8" s="5" t="n">
        <f aca="false">'Budget Detail'!K35</f>
        <v>1116000</v>
      </c>
      <c r="C8" s="5" t="n">
        <f aca="false">'Budget Detail'!L35</f>
        <v>0</v>
      </c>
      <c r="D8" s="5" t="n">
        <f aca="false">'Budget Detail'!I35</f>
        <v>1116000</v>
      </c>
      <c r="E8" s="6" t="n">
        <f aca="false">IF($D$16=0,0,D8/$D$16)</f>
        <v>0.0413468399677228</v>
      </c>
      <c r="F8" s="7" t="n">
        <f aca="false">D8/Assumptions!$B$7</f>
        <v>8651.16279069767</v>
      </c>
    </row>
    <row r="9" customFormat="false" ht="15" hidden="false" customHeight="false" outlineLevel="0" collapsed="false">
      <c r="A9" s="4" t="s">
        <v>12</v>
      </c>
      <c r="B9" s="5" t="n">
        <f aca="false">'Budget Detail'!K41</f>
        <v>285000</v>
      </c>
      <c r="C9" s="5" t="n">
        <f aca="false">'Budget Detail'!L41</f>
        <v>0</v>
      </c>
      <c r="D9" s="5" t="n">
        <f aca="false">'Budget Detail'!I41</f>
        <v>285000</v>
      </c>
      <c r="E9" s="6" t="n">
        <f aca="false">IF($D$16=0,0,D9/$D$16)</f>
        <v>0.0105590048304668</v>
      </c>
      <c r="F9" s="7" t="n">
        <f aca="false">D9/Assumptions!$B$7</f>
        <v>2209.3023255814</v>
      </c>
    </row>
    <row r="10" customFormat="false" ht="15" hidden="false" customHeight="false" outlineLevel="0" collapsed="false">
      <c r="A10" s="4" t="s">
        <v>13</v>
      </c>
      <c r="B10" s="5" t="n">
        <f aca="false">'Budget Detail'!K47</f>
        <v>200000</v>
      </c>
      <c r="C10" s="5" t="n">
        <f aca="false">'Budget Detail'!L47</f>
        <v>25000</v>
      </c>
      <c r="D10" s="5" t="n">
        <f aca="false">'Budget Detail'!I47</f>
        <v>225000</v>
      </c>
      <c r="E10" s="6" t="n">
        <f aca="false">IF($D$16=0,0,D10/$D$16)</f>
        <v>0.0083360564451054</v>
      </c>
      <c r="F10" s="7" t="n">
        <f aca="false">D10/Assumptions!$B$7</f>
        <v>1744.18604651163</v>
      </c>
    </row>
    <row r="11" customFormat="false" ht="15" hidden="false" customHeight="false" outlineLevel="0" collapsed="false">
      <c r="A11" s="4" t="s">
        <v>14</v>
      </c>
      <c r="B11" s="5" t="n">
        <f aca="false">'Budget Detail'!K54</f>
        <v>350000</v>
      </c>
      <c r="C11" s="5" t="n">
        <f aca="false">'Budget Detail'!L54</f>
        <v>1390000</v>
      </c>
      <c r="D11" s="5" t="n">
        <f aca="false">'Budget Detail'!I54</f>
        <v>1740000</v>
      </c>
      <c r="E11" s="6" t="n">
        <f aca="false">IF($D$16=0,0,D11/$D$16)</f>
        <v>0.0644655031754818</v>
      </c>
      <c r="F11" s="7" t="n">
        <f aca="false">D11/Assumptions!$B$7</f>
        <v>13488.3720930233</v>
      </c>
    </row>
    <row r="12" customFormat="false" ht="15" hidden="false" customHeight="false" outlineLevel="0" collapsed="false">
      <c r="A12" s="4" t="s">
        <v>15</v>
      </c>
      <c r="B12" s="5" t="n">
        <f aca="false">'Budget Detail'!K60</f>
        <v>315900</v>
      </c>
      <c r="C12" s="5" t="n">
        <f aca="false">'Budget Detail'!L60</f>
        <v>164100</v>
      </c>
      <c r="D12" s="5" t="n">
        <f aca="false">'Budget Detail'!I60</f>
        <v>480000</v>
      </c>
      <c r="E12" s="6" t="n">
        <f aca="false">IF($D$16=0,0,D12/$D$16)</f>
        <v>0.0177835870828915</v>
      </c>
      <c r="F12" s="7" t="n">
        <f aca="false">D12/Assumptions!$B$7</f>
        <v>3720.93023255814</v>
      </c>
    </row>
    <row r="13" customFormat="false" ht="15" hidden="false" customHeight="false" outlineLevel="0" collapsed="false">
      <c r="A13" s="8" t="s">
        <v>16</v>
      </c>
      <c r="B13" s="9" t="n">
        <f aca="false">SUM(B5:B12)</f>
        <v>17516110</v>
      </c>
      <c r="C13" s="9" t="n">
        <f aca="false">SUM(C5:C12)</f>
        <v>6369890</v>
      </c>
      <c r="D13" s="9" t="n">
        <f aca="false">SUM(D5:D12)</f>
        <v>23886000</v>
      </c>
      <c r="E13" s="6" t="n">
        <f aca="false">IF($D$16=0,0,D13/$D$16)</f>
        <v>0.884955752212389</v>
      </c>
      <c r="F13" s="7" t="n">
        <f aca="false">D13/Assumptions!$B$7</f>
        <v>185162.790697674</v>
      </c>
    </row>
    <row r="14" customFormat="false" ht="15" hidden="false" customHeight="false" outlineLevel="0" collapsed="false">
      <c r="A14" s="4" t="s">
        <v>17</v>
      </c>
      <c r="B14" s="10" t="n">
        <f aca="false">B13*Assumptions!$B$8</f>
        <v>525483.3</v>
      </c>
      <c r="C14" s="10" t="n">
        <f aca="false">C13*Assumptions!$B$8</f>
        <v>191096.7</v>
      </c>
      <c r="D14" s="10" t="n">
        <f aca="false">D13*Assumptions!$B$8</f>
        <v>716580</v>
      </c>
      <c r="E14" s="6" t="n">
        <f aca="false">IF($D$16=0,0,D14/$D$16)</f>
        <v>0.0265486725663717</v>
      </c>
      <c r="F14" s="7" t="n">
        <f aca="false">D14/Assumptions!$B$7</f>
        <v>5554.88372093023</v>
      </c>
    </row>
    <row r="15" customFormat="false" ht="15" hidden="false" customHeight="false" outlineLevel="0" collapsed="false">
      <c r="A15" s="4" t="s">
        <v>18</v>
      </c>
      <c r="B15" s="10" t="n">
        <f aca="false">B13*Assumptions!$B$6</f>
        <v>1751611</v>
      </c>
      <c r="C15" s="10" t="n">
        <f aca="false">C13*Assumptions!$B$6</f>
        <v>636989</v>
      </c>
      <c r="D15" s="10" t="n">
        <f aca="false">D13*Assumptions!$B$6</f>
        <v>2388600</v>
      </c>
      <c r="E15" s="6" t="n">
        <f aca="false">IF($D$16=0,0,D15/$D$16)</f>
        <v>0.0884955752212389</v>
      </c>
      <c r="F15" s="7" t="n">
        <f aca="false">D15/Assumptions!$B$7</f>
        <v>18516.2790697674</v>
      </c>
    </row>
    <row r="16" customFormat="false" ht="15" hidden="false" customHeight="false" outlineLevel="0" collapsed="false">
      <c r="A16" s="11" t="s">
        <v>19</v>
      </c>
      <c r="B16" s="12" t="n">
        <f aca="false">B13+B14+B15</f>
        <v>19793204.3</v>
      </c>
      <c r="C16" s="12" t="n">
        <f aca="false">C13+C14+C15</f>
        <v>7197975.7</v>
      </c>
      <c r="D16" s="12" t="n">
        <f aca="false">D13+D14+D15</f>
        <v>26991180</v>
      </c>
      <c r="E16" s="13" t="n">
        <f aca="false">IF($D$16=0,0,D16/$D$16)</f>
        <v>1</v>
      </c>
      <c r="F16" s="14" t="n">
        <f aca="false">D16/Assumptions!$B$7</f>
        <v>209233.953488372</v>
      </c>
    </row>
    <row r="18" customFormat="false" ht="15" hidden="false" customHeight="false" outlineLevel="0" collapsed="false">
      <c r="A18" s="2" t="s">
        <v>20</v>
      </c>
      <c r="D18" s="15" t="n">
        <f aca="false">'Budget Detail'!I62-D13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44"/>
  </cols>
  <sheetData>
    <row r="1" customFormat="false" ht="17.35" hidden="false" customHeight="false" outlineLevel="0" collapsed="false">
      <c r="A1" s="1" t="s">
        <v>21</v>
      </c>
    </row>
    <row r="2" customFormat="false" ht="15" hidden="false" customHeight="false" outlineLevel="0" collapsed="false">
      <c r="A2" s="16" t="s">
        <v>22</v>
      </c>
    </row>
    <row r="4" customFormat="false" ht="15" hidden="false" customHeight="false" outlineLevel="0" collapsed="false">
      <c r="A4" s="17" t="s">
        <v>23</v>
      </c>
      <c r="B4" s="17" t="s">
        <v>24</v>
      </c>
      <c r="C4" s="17" t="s">
        <v>25</v>
      </c>
    </row>
    <row r="5" customFormat="false" ht="15" hidden="false" customHeight="false" outlineLevel="0" collapsed="false">
      <c r="A5" s="18" t="s">
        <v>26</v>
      </c>
      <c r="B5" s="19" t="n">
        <v>18</v>
      </c>
      <c r="C5" s="2" t="s">
        <v>27</v>
      </c>
    </row>
    <row r="6" customFormat="false" ht="15" hidden="false" customHeight="false" outlineLevel="0" collapsed="false">
      <c r="A6" s="18" t="s">
        <v>28</v>
      </c>
      <c r="B6" s="20" t="n">
        <v>0.1</v>
      </c>
      <c r="C6" s="2" t="s">
        <v>29</v>
      </c>
    </row>
    <row r="7" customFormat="false" ht="15" hidden="false" customHeight="false" outlineLevel="0" collapsed="false">
      <c r="A7" s="18" t="s">
        <v>30</v>
      </c>
      <c r="B7" s="21" t="n">
        <v>129</v>
      </c>
      <c r="C7" s="2" t="s">
        <v>31</v>
      </c>
    </row>
    <row r="8" customFormat="false" ht="15" hidden="false" customHeight="false" outlineLevel="0" collapsed="false">
      <c r="A8" s="18" t="s">
        <v>32</v>
      </c>
      <c r="B8" s="20" t="n">
        <v>0.03</v>
      </c>
      <c r="C8" s="2" t="s">
        <v>33</v>
      </c>
    </row>
    <row r="9" customFormat="false" ht="15" hidden="false" customHeight="false" outlineLevel="0" collapsed="false">
      <c r="A9" s="18" t="s">
        <v>34</v>
      </c>
      <c r="B9" s="22" t="s">
        <v>35</v>
      </c>
      <c r="C9" s="2" t="s">
        <v>36</v>
      </c>
    </row>
    <row r="11" customFormat="false" ht="15" hidden="false" customHeight="false" outlineLevel="0" collapsed="false">
      <c r="A11" s="2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44"/>
    <col collapsed="false" customWidth="true" hidden="false" outlineLevel="0" max="4" min="4" style="0" width="13"/>
    <col collapsed="false" customWidth="true" hidden="false" outlineLevel="0" max="5" min="5" style="0" width="6"/>
    <col collapsed="false" customWidth="true" hidden="false" outlineLevel="0" max="6" min="6" style="0" width="14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15"/>
    <col collapsed="false" customWidth="true" hidden="false" outlineLevel="0" max="10" min="10" style="0" width="9"/>
    <col collapsed="false" customWidth="true" hidden="false" outlineLevel="0" max="12" min="11" style="0" width="15"/>
    <col collapsed="false" customWidth="true" hidden="false" outlineLevel="0" max="13" min="13" style="0" width="46"/>
  </cols>
  <sheetData>
    <row r="1" customFormat="false" ht="17.35" hidden="false" customHeight="false" outlineLevel="0" collapsed="false">
      <c r="A1" s="1" t="s">
        <v>38</v>
      </c>
    </row>
    <row r="2" customFormat="false" ht="15" hidden="false" customHeight="false" outlineLevel="0" collapsed="false">
      <c r="A2" s="2" t="s">
        <v>39</v>
      </c>
    </row>
    <row r="4" customFormat="false" ht="30" hidden="false" customHeight="true" outlineLevel="0" collapsed="false">
      <c r="A4" s="23" t="s">
        <v>40</v>
      </c>
      <c r="B4" s="23" t="s">
        <v>2</v>
      </c>
      <c r="C4" s="23" t="s">
        <v>41</v>
      </c>
      <c r="D4" s="23" t="s">
        <v>42</v>
      </c>
      <c r="E4" s="23" t="s">
        <v>43</v>
      </c>
      <c r="F4" s="23" t="s">
        <v>44</v>
      </c>
      <c r="G4" s="23" t="s">
        <v>45</v>
      </c>
      <c r="H4" s="23" t="s">
        <v>46</v>
      </c>
      <c r="I4" s="23" t="s">
        <v>5</v>
      </c>
      <c r="J4" s="23" t="s">
        <v>47</v>
      </c>
      <c r="K4" s="23" t="s">
        <v>3</v>
      </c>
      <c r="L4" s="23" t="s">
        <v>4</v>
      </c>
      <c r="M4" s="23" t="s">
        <v>48</v>
      </c>
    </row>
    <row r="5" customFormat="false" ht="15" hidden="false" customHeight="false" outlineLevel="0" collapsed="false">
      <c r="A5" s="11" t="s">
        <v>8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</row>
    <row r="6" customFormat="false" ht="15" hidden="false" customHeight="false" outlineLevel="0" collapsed="false">
      <c r="A6" s="4" t="s">
        <v>49</v>
      </c>
      <c r="B6" s="4" t="s">
        <v>8</v>
      </c>
      <c r="C6" s="4" t="s">
        <v>50</v>
      </c>
      <c r="D6" s="4" t="s">
        <v>51</v>
      </c>
      <c r="E6" s="25" t="n">
        <v>1</v>
      </c>
      <c r="F6" s="26" t="n">
        <v>450000</v>
      </c>
      <c r="G6" s="27" t="n">
        <v>0.2</v>
      </c>
      <c r="H6" s="25" t="n">
        <v>18</v>
      </c>
      <c r="I6" s="10" t="n">
        <f aca="false">E6*F6*G6*H6</f>
        <v>1620000</v>
      </c>
      <c r="J6" s="27" t="n">
        <v>0.67</v>
      </c>
      <c r="K6" s="10" t="n">
        <f aca="false">I6*J6</f>
        <v>1085400</v>
      </c>
      <c r="L6" s="10" t="n">
        <f aca="false">I6-K6</f>
        <v>534600</v>
      </c>
      <c r="M6" s="28" t="s">
        <v>52</v>
      </c>
    </row>
    <row r="7" customFormat="false" ht="15" hidden="false" customHeight="false" outlineLevel="0" collapsed="false">
      <c r="A7" s="4" t="s">
        <v>53</v>
      </c>
      <c r="B7" s="4" t="s">
        <v>8</v>
      </c>
      <c r="C7" s="4" t="s">
        <v>54</v>
      </c>
      <c r="D7" s="4" t="s">
        <v>51</v>
      </c>
      <c r="E7" s="25" t="n">
        <v>1</v>
      </c>
      <c r="F7" s="26" t="n">
        <v>400000</v>
      </c>
      <c r="G7" s="27" t="n">
        <v>0.15</v>
      </c>
      <c r="H7" s="25" t="n">
        <v>18</v>
      </c>
      <c r="I7" s="10" t="n">
        <f aca="false">E7*F7*G7*H7</f>
        <v>1080000</v>
      </c>
      <c r="J7" s="27" t="n">
        <v>0.67</v>
      </c>
      <c r="K7" s="10" t="n">
        <f aca="false">I7*J7</f>
        <v>723600</v>
      </c>
      <c r="L7" s="10" t="n">
        <f aca="false">I7-K7</f>
        <v>356400</v>
      </c>
      <c r="M7" s="28" t="s">
        <v>55</v>
      </c>
    </row>
    <row r="8" customFormat="false" ht="15" hidden="false" customHeight="false" outlineLevel="0" collapsed="false">
      <c r="A8" s="4" t="s">
        <v>56</v>
      </c>
      <c r="B8" s="4" t="s">
        <v>8</v>
      </c>
      <c r="C8" s="4" t="s">
        <v>57</v>
      </c>
      <c r="D8" s="4" t="s">
        <v>51</v>
      </c>
      <c r="E8" s="25" t="n">
        <v>1</v>
      </c>
      <c r="F8" s="26" t="n">
        <v>380000</v>
      </c>
      <c r="G8" s="27" t="n">
        <v>0.2</v>
      </c>
      <c r="H8" s="25" t="n">
        <v>18</v>
      </c>
      <c r="I8" s="10" t="n">
        <f aca="false">E8*F8*G8*H8</f>
        <v>1368000</v>
      </c>
      <c r="J8" s="27" t="n">
        <v>0.67</v>
      </c>
      <c r="K8" s="10" t="n">
        <f aca="false">I8*J8</f>
        <v>916560</v>
      </c>
      <c r="L8" s="10" t="n">
        <f aca="false">I8-K8</f>
        <v>451440</v>
      </c>
      <c r="M8" s="28" t="s">
        <v>58</v>
      </c>
    </row>
    <row r="9" customFormat="false" ht="15" hidden="false" customHeight="false" outlineLevel="0" collapsed="false">
      <c r="A9" s="4" t="s">
        <v>59</v>
      </c>
      <c r="B9" s="4" t="s">
        <v>8</v>
      </c>
      <c r="C9" s="4" t="s">
        <v>60</v>
      </c>
      <c r="D9" s="4" t="s">
        <v>51</v>
      </c>
      <c r="E9" s="25" t="n">
        <v>1</v>
      </c>
      <c r="F9" s="26" t="n">
        <v>420000</v>
      </c>
      <c r="G9" s="27" t="n">
        <v>0.1</v>
      </c>
      <c r="H9" s="25" t="n">
        <v>18</v>
      </c>
      <c r="I9" s="10" t="n">
        <f aca="false">E9*F9*G9*H9</f>
        <v>756000</v>
      </c>
      <c r="J9" s="27" t="n">
        <v>0.5</v>
      </c>
      <c r="K9" s="10" t="n">
        <f aca="false">I9*J9</f>
        <v>378000</v>
      </c>
      <c r="L9" s="10" t="n">
        <f aca="false">I9-K9</f>
        <v>378000</v>
      </c>
      <c r="M9" s="28" t="s">
        <v>61</v>
      </c>
    </row>
    <row r="10" customFormat="false" ht="15" hidden="false" customHeight="false" outlineLevel="0" collapsed="false">
      <c r="A10" s="4" t="s">
        <v>62</v>
      </c>
      <c r="B10" s="4" t="s">
        <v>8</v>
      </c>
      <c r="C10" s="4" t="s">
        <v>63</v>
      </c>
      <c r="D10" s="4" t="s">
        <v>51</v>
      </c>
      <c r="E10" s="25" t="n">
        <v>1</v>
      </c>
      <c r="F10" s="26" t="n">
        <v>250000</v>
      </c>
      <c r="G10" s="27" t="n">
        <v>0.15</v>
      </c>
      <c r="H10" s="25" t="n">
        <v>18</v>
      </c>
      <c r="I10" s="10" t="n">
        <f aca="false">E10*F10*G10*H10</f>
        <v>675000</v>
      </c>
      <c r="J10" s="27" t="n">
        <v>0.67</v>
      </c>
      <c r="K10" s="10" t="n">
        <f aca="false">I10*J10</f>
        <v>452250</v>
      </c>
      <c r="L10" s="10" t="n">
        <f aca="false">I10-K10</f>
        <v>222750</v>
      </c>
      <c r="M10" s="28" t="s">
        <v>64</v>
      </c>
    </row>
    <row r="11" customFormat="false" ht="15" hidden="false" customHeight="false" outlineLevel="0" collapsed="false">
      <c r="A11" s="4" t="s">
        <v>65</v>
      </c>
      <c r="B11" s="4" t="s">
        <v>8</v>
      </c>
      <c r="C11" s="4" t="s">
        <v>66</v>
      </c>
      <c r="D11" s="4" t="s">
        <v>51</v>
      </c>
      <c r="E11" s="25" t="n">
        <v>1</v>
      </c>
      <c r="F11" s="26" t="n">
        <v>180000</v>
      </c>
      <c r="G11" s="27" t="n">
        <v>1</v>
      </c>
      <c r="H11" s="25" t="n">
        <v>18</v>
      </c>
      <c r="I11" s="10" t="n">
        <f aca="false">E11*F11*G11*H11</f>
        <v>3240000</v>
      </c>
      <c r="J11" s="27" t="n">
        <v>0.67</v>
      </c>
      <c r="K11" s="10" t="n">
        <f aca="false">I11*J11</f>
        <v>2170800</v>
      </c>
      <c r="L11" s="10" t="n">
        <f aca="false">I11-K11</f>
        <v>1069200</v>
      </c>
      <c r="M11" s="28" t="s">
        <v>67</v>
      </c>
    </row>
    <row r="12" customFormat="false" ht="15" hidden="false" customHeight="false" outlineLevel="0" collapsed="false">
      <c r="A12" s="4" t="s">
        <v>68</v>
      </c>
      <c r="B12" s="4" t="s">
        <v>8</v>
      </c>
      <c r="C12" s="4" t="s">
        <v>69</v>
      </c>
      <c r="D12" s="4" t="s">
        <v>51</v>
      </c>
      <c r="E12" s="25" t="n">
        <v>6</v>
      </c>
      <c r="F12" s="26" t="n">
        <v>70000</v>
      </c>
      <c r="G12" s="27" t="n">
        <v>1</v>
      </c>
      <c r="H12" s="25" t="n">
        <v>9</v>
      </c>
      <c r="I12" s="10" t="n">
        <f aca="false">E12*F12*G12*H12</f>
        <v>3780000</v>
      </c>
      <c r="J12" s="27" t="n">
        <v>1</v>
      </c>
      <c r="K12" s="10" t="n">
        <f aca="false">I12*J12</f>
        <v>3780000</v>
      </c>
      <c r="L12" s="10" t="n">
        <f aca="false">I12-K12</f>
        <v>0</v>
      </c>
      <c r="M12" s="28" t="s">
        <v>70</v>
      </c>
    </row>
    <row r="13" customFormat="false" ht="15" hidden="false" customHeight="false" outlineLevel="0" collapsed="false">
      <c r="A13" s="4" t="s">
        <v>71</v>
      </c>
      <c r="B13" s="4" t="s">
        <v>8</v>
      </c>
      <c r="C13" s="4" t="s">
        <v>72</v>
      </c>
      <c r="D13" s="4" t="s">
        <v>51</v>
      </c>
      <c r="E13" s="25" t="n">
        <v>1</v>
      </c>
      <c r="F13" s="26" t="n">
        <v>200000</v>
      </c>
      <c r="G13" s="27" t="n">
        <v>0.5</v>
      </c>
      <c r="H13" s="25" t="n">
        <v>18</v>
      </c>
      <c r="I13" s="10" t="n">
        <f aca="false">E13*F13*G13*H13</f>
        <v>1800000</v>
      </c>
      <c r="J13" s="27" t="n">
        <v>0.67</v>
      </c>
      <c r="K13" s="10" t="n">
        <f aca="false">I13*J13</f>
        <v>1206000</v>
      </c>
      <c r="L13" s="10" t="n">
        <f aca="false">I13-K13</f>
        <v>594000</v>
      </c>
      <c r="M13" s="28" t="s">
        <v>73</v>
      </c>
    </row>
    <row r="14" customFormat="false" ht="15" hidden="false" customHeight="false" outlineLevel="0" collapsed="false">
      <c r="A14" s="4" t="s">
        <v>74</v>
      </c>
      <c r="B14" s="4" t="s">
        <v>8</v>
      </c>
      <c r="C14" s="4" t="s">
        <v>75</v>
      </c>
      <c r="D14" s="4" t="s">
        <v>51</v>
      </c>
      <c r="E14" s="25" t="n">
        <v>1</v>
      </c>
      <c r="F14" s="26" t="n">
        <v>300000</v>
      </c>
      <c r="G14" s="27" t="n">
        <v>0.5</v>
      </c>
      <c r="H14" s="25" t="n">
        <v>12</v>
      </c>
      <c r="I14" s="10" t="n">
        <f aca="false">E14*F14*G14*H14</f>
        <v>1800000</v>
      </c>
      <c r="J14" s="27" t="n">
        <v>0.75</v>
      </c>
      <c r="K14" s="10" t="n">
        <f aca="false">I14*J14</f>
        <v>1350000</v>
      </c>
      <c r="L14" s="10" t="n">
        <f aca="false">I14-K14</f>
        <v>450000</v>
      </c>
      <c r="M14" s="28" t="s">
        <v>76</v>
      </c>
    </row>
    <row r="15" customFormat="false" ht="15" hidden="false" customHeight="false" outlineLevel="0" collapsed="false">
      <c r="A15" s="29"/>
      <c r="B15" s="29"/>
      <c r="C15" s="8" t="s">
        <v>77</v>
      </c>
      <c r="D15" s="29"/>
      <c r="E15" s="29"/>
      <c r="F15" s="29"/>
      <c r="G15" s="29"/>
      <c r="H15" s="29"/>
      <c r="I15" s="9" t="n">
        <f aca="false">SUM(I6:I14)</f>
        <v>16119000</v>
      </c>
      <c r="J15" s="29"/>
      <c r="K15" s="9" t="n">
        <f aca="false">SUM(K6:K14)</f>
        <v>12062610</v>
      </c>
      <c r="L15" s="9" t="n">
        <f aca="false">SUM(L6:L14)</f>
        <v>4056390</v>
      </c>
      <c r="M15" s="29"/>
    </row>
    <row r="17" customFormat="false" ht="15" hidden="false" customHeight="false" outlineLevel="0" collapsed="false">
      <c r="A17" s="11" t="s">
        <v>9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</row>
    <row r="18" customFormat="false" ht="15" hidden="false" customHeight="false" outlineLevel="0" collapsed="false">
      <c r="A18" s="4" t="s">
        <v>78</v>
      </c>
      <c r="B18" s="4" t="s">
        <v>9</v>
      </c>
      <c r="C18" s="4" t="s">
        <v>79</v>
      </c>
      <c r="D18" s="4" t="s">
        <v>80</v>
      </c>
      <c r="E18" s="25" t="n">
        <v>9</v>
      </c>
      <c r="F18" s="26" t="n">
        <v>45000</v>
      </c>
      <c r="G18" s="27" t="n">
        <v>1</v>
      </c>
      <c r="H18" s="25" t="n">
        <v>1</v>
      </c>
      <c r="I18" s="10" t="n">
        <f aca="false">E18*F18*G18*H18</f>
        <v>405000</v>
      </c>
      <c r="J18" s="27" t="n">
        <v>1</v>
      </c>
      <c r="K18" s="10" t="n">
        <f aca="false">I18*J18</f>
        <v>405000</v>
      </c>
      <c r="L18" s="10" t="n">
        <f aca="false">I18-K18</f>
        <v>0</v>
      </c>
      <c r="M18" s="28" t="s">
        <v>81</v>
      </c>
    </row>
    <row r="19" customFormat="false" ht="15" hidden="false" customHeight="false" outlineLevel="0" collapsed="false">
      <c r="A19" s="4" t="s">
        <v>82</v>
      </c>
      <c r="B19" s="4" t="s">
        <v>9</v>
      </c>
      <c r="C19" s="4" t="s">
        <v>83</v>
      </c>
      <c r="D19" s="4" t="s">
        <v>80</v>
      </c>
      <c r="E19" s="25" t="n">
        <v>3</v>
      </c>
      <c r="F19" s="26" t="n">
        <v>180000</v>
      </c>
      <c r="G19" s="27" t="n">
        <v>1</v>
      </c>
      <c r="H19" s="25" t="n">
        <v>1</v>
      </c>
      <c r="I19" s="10" t="n">
        <f aca="false">E19*F19*G19*H19</f>
        <v>540000</v>
      </c>
      <c r="J19" s="27" t="n">
        <v>1</v>
      </c>
      <c r="K19" s="10" t="n">
        <f aca="false">I19*J19</f>
        <v>540000</v>
      </c>
      <c r="L19" s="10" t="n">
        <f aca="false">I19-K19</f>
        <v>0</v>
      </c>
      <c r="M19" s="28" t="s">
        <v>84</v>
      </c>
    </row>
    <row r="20" customFormat="false" ht="15" hidden="false" customHeight="false" outlineLevel="0" collapsed="false">
      <c r="A20" s="4" t="s">
        <v>85</v>
      </c>
      <c r="B20" s="4" t="s">
        <v>9</v>
      </c>
      <c r="C20" s="4" t="s">
        <v>86</v>
      </c>
      <c r="D20" s="4" t="s">
        <v>80</v>
      </c>
      <c r="E20" s="25" t="n">
        <v>2</v>
      </c>
      <c r="F20" s="26" t="n">
        <v>120000</v>
      </c>
      <c r="G20" s="27" t="n">
        <v>1</v>
      </c>
      <c r="H20" s="25" t="n">
        <v>1</v>
      </c>
      <c r="I20" s="10" t="n">
        <f aca="false">E20*F20*G20*H20</f>
        <v>240000</v>
      </c>
      <c r="J20" s="27" t="n">
        <v>1</v>
      </c>
      <c r="K20" s="10" t="n">
        <f aca="false">I20*J20</f>
        <v>240000</v>
      </c>
      <c r="L20" s="10" t="n">
        <f aca="false">I20-K20</f>
        <v>0</v>
      </c>
      <c r="M20" s="28" t="s">
        <v>87</v>
      </c>
    </row>
    <row r="21" customFormat="false" ht="15" hidden="false" customHeight="false" outlineLevel="0" collapsed="false">
      <c r="A21" s="4" t="s">
        <v>88</v>
      </c>
      <c r="B21" s="4" t="s">
        <v>9</v>
      </c>
      <c r="C21" s="4" t="s">
        <v>89</v>
      </c>
      <c r="D21" s="4" t="s">
        <v>90</v>
      </c>
      <c r="E21" s="25" t="n">
        <v>1</v>
      </c>
      <c r="F21" s="26" t="n">
        <v>60000</v>
      </c>
      <c r="G21" s="27" t="n">
        <v>1</v>
      </c>
      <c r="H21" s="25" t="n">
        <v>18</v>
      </c>
      <c r="I21" s="10" t="n">
        <f aca="false">E21*F21*G21*H21</f>
        <v>1080000</v>
      </c>
      <c r="J21" s="27" t="n">
        <v>0.67</v>
      </c>
      <c r="K21" s="10" t="n">
        <f aca="false">I21*J21</f>
        <v>723600</v>
      </c>
      <c r="L21" s="10" t="n">
        <f aca="false">I21-K21</f>
        <v>356400</v>
      </c>
      <c r="M21" s="28" t="s">
        <v>91</v>
      </c>
    </row>
    <row r="22" customFormat="false" ht="15" hidden="false" customHeight="false" outlineLevel="0" collapsed="false">
      <c r="A22" s="4" t="s">
        <v>92</v>
      </c>
      <c r="B22" s="4" t="s">
        <v>9</v>
      </c>
      <c r="C22" s="4" t="s">
        <v>93</v>
      </c>
      <c r="D22" s="4" t="s">
        <v>94</v>
      </c>
      <c r="E22" s="25" t="n">
        <v>1</v>
      </c>
      <c r="F22" s="26" t="n">
        <v>90000</v>
      </c>
      <c r="G22" s="27" t="n">
        <v>1</v>
      </c>
      <c r="H22" s="25" t="n">
        <v>2</v>
      </c>
      <c r="I22" s="10" t="n">
        <f aca="false">E22*F22*G22*H22</f>
        <v>180000</v>
      </c>
      <c r="J22" s="27" t="n">
        <v>0.5</v>
      </c>
      <c r="K22" s="10" t="n">
        <f aca="false">I22*J22</f>
        <v>90000</v>
      </c>
      <c r="L22" s="10" t="n">
        <f aca="false">I22-K22</f>
        <v>90000</v>
      </c>
      <c r="M22" s="28" t="s">
        <v>95</v>
      </c>
    </row>
    <row r="23" customFormat="false" ht="15" hidden="false" customHeight="false" outlineLevel="0" collapsed="false">
      <c r="A23" s="29"/>
      <c r="B23" s="29"/>
      <c r="C23" s="8" t="s">
        <v>96</v>
      </c>
      <c r="D23" s="29"/>
      <c r="E23" s="29"/>
      <c r="F23" s="29"/>
      <c r="G23" s="29"/>
      <c r="H23" s="29"/>
      <c r="I23" s="9" t="n">
        <f aca="false">SUM(I18:I22)</f>
        <v>2445000</v>
      </c>
      <c r="J23" s="29"/>
      <c r="K23" s="9" t="n">
        <f aca="false">SUM(K18:K22)</f>
        <v>1998600</v>
      </c>
      <c r="L23" s="9" t="n">
        <f aca="false">SUM(L18:L22)</f>
        <v>446400</v>
      </c>
      <c r="M23" s="29"/>
    </row>
    <row r="25" customFormat="false" ht="15" hidden="false" customHeight="false" outlineLevel="0" collapsed="false">
      <c r="A25" s="11" t="s">
        <v>10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</row>
    <row r="26" customFormat="false" ht="15" hidden="false" customHeight="false" outlineLevel="0" collapsed="false">
      <c r="A26" s="4" t="s">
        <v>97</v>
      </c>
      <c r="B26" s="4" t="s">
        <v>10</v>
      </c>
      <c r="C26" s="4" t="s">
        <v>98</v>
      </c>
      <c r="D26" s="4" t="s">
        <v>99</v>
      </c>
      <c r="E26" s="25" t="n">
        <v>3</v>
      </c>
      <c r="F26" s="26" t="n">
        <v>18000</v>
      </c>
      <c r="G26" s="27" t="n">
        <v>1</v>
      </c>
      <c r="H26" s="25" t="n">
        <v>12</v>
      </c>
      <c r="I26" s="10" t="n">
        <f aca="false">E26*F26*G26*H26</f>
        <v>648000</v>
      </c>
      <c r="J26" s="27" t="n">
        <v>0.75</v>
      </c>
      <c r="K26" s="10" t="n">
        <f aca="false">I26*J26</f>
        <v>486000</v>
      </c>
      <c r="L26" s="10" t="n">
        <f aca="false">I26-K26</f>
        <v>162000</v>
      </c>
      <c r="M26" s="28" t="s">
        <v>100</v>
      </c>
    </row>
    <row r="27" customFormat="false" ht="15" hidden="false" customHeight="false" outlineLevel="0" collapsed="false">
      <c r="A27" s="4" t="s">
        <v>101</v>
      </c>
      <c r="B27" s="4" t="s">
        <v>10</v>
      </c>
      <c r="C27" s="4" t="s">
        <v>102</v>
      </c>
      <c r="D27" s="4" t="s">
        <v>103</v>
      </c>
      <c r="E27" s="25" t="n">
        <v>3</v>
      </c>
      <c r="F27" s="26" t="n">
        <v>7000</v>
      </c>
      <c r="G27" s="27" t="n">
        <v>2</v>
      </c>
      <c r="H27" s="25" t="n">
        <v>12</v>
      </c>
      <c r="I27" s="10" t="n">
        <f aca="false">E27*F27*G27*H27</f>
        <v>504000</v>
      </c>
      <c r="J27" s="27" t="n">
        <v>0.75</v>
      </c>
      <c r="K27" s="10" t="n">
        <f aca="false">I27*J27</f>
        <v>378000</v>
      </c>
      <c r="L27" s="10" t="n">
        <f aca="false">I27-K27</f>
        <v>126000</v>
      </c>
      <c r="M27" s="28" t="s">
        <v>104</v>
      </c>
    </row>
    <row r="28" customFormat="false" ht="15" hidden="false" customHeight="false" outlineLevel="0" collapsed="false">
      <c r="A28" s="4" t="s">
        <v>105</v>
      </c>
      <c r="B28" s="4" t="s">
        <v>10</v>
      </c>
      <c r="C28" s="4" t="s">
        <v>106</v>
      </c>
      <c r="D28" s="4" t="s">
        <v>90</v>
      </c>
      <c r="E28" s="25" t="n">
        <v>6</v>
      </c>
      <c r="F28" s="26" t="n">
        <v>6000</v>
      </c>
      <c r="G28" s="27" t="n">
        <v>1</v>
      </c>
      <c r="H28" s="25" t="n">
        <v>9</v>
      </c>
      <c r="I28" s="10" t="n">
        <f aca="false">E28*F28*G28*H28</f>
        <v>324000</v>
      </c>
      <c r="J28" s="27" t="n">
        <v>1</v>
      </c>
      <c r="K28" s="10" t="n">
        <f aca="false">I28*J28</f>
        <v>324000</v>
      </c>
      <c r="L28" s="10" t="n">
        <f aca="false">I28-K28</f>
        <v>0</v>
      </c>
      <c r="M28" s="28" t="s">
        <v>107</v>
      </c>
    </row>
    <row r="29" customFormat="false" ht="15" hidden="false" customHeight="false" outlineLevel="0" collapsed="false">
      <c r="A29" s="29"/>
      <c r="B29" s="29"/>
      <c r="C29" s="8" t="s">
        <v>108</v>
      </c>
      <c r="D29" s="29"/>
      <c r="E29" s="29"/>
      <c r="F29" s="29"/>
      <c r="G29" s="29"/>
      <c r="H29" s="29"/>
      <c r="I29" s="9" t="n">
        <f aca="false">SUM(I26:I28)</f>
        <v>1476000</v>
      </c>
      <c r="J29" s="29"/>
      <c r="K29" s="9" t="n">
        <f aca="false">SUM(K26:K28)</f>
        <v>1188000</v>
      </c>
      <c r="L29" s="9" t="n">
        <f aca="false">SUM(L26:L28)</f>
        <v>288000</v>
      </c>
      <c r="M29" s="29"/>
    </row>
    <row r="31" customFormat="false" ht="15" hidden="false" customHeight="false" outlineLevel="0" collapsed="false">
      <c r="A31" s="11" t="s">
        <v>11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</row>
    <row r="32" customFormat="false" ht="15" hidden="false" customHeight="false" outlineLevel="0" collapsed="false">
      <c r="A32" s="4" t="s">
        <v>109</v>
      </c>
      <c r="B32" s="4" t="s">
        <v>11</v>
      </c>
      <c r="C32" s="4" t="s">
        <v>110</v>
      </c>
      <c r="D32" s="4" t="s">
        <v>111</v>
      </c>
      <c r="E32" s="25" t="n">
        <v>3</v>
      </c>
      <c r="F32" s="26" t="n">
        <v>250000</v>
      </c>
      <c r="G32" s="27" t="n">
        <v>1</v>
      </c>
      <c r="H32" s="25" t="n">
        <v>1</v>
      </c>
      <c r="I32" s="10" t="n">
        <f aca="false">E32*F32*G32*H32</f>
        <v>750000</v>
      </c>
      <c r="J32" s="27" t="n">
        <v>1</v>
      </c>
      <c r="K32" s="10" t="n">
        <f aca="false">I32*J32</f>
        <v>750000</v>
      </c>
      <c r="L32" s="10" t="n">
        <f aca="false">I32-K32</f>
        <v>0</v>
      </c>
      <c r="M32" s="28" t="s">
        <v>112</v>
      </c>
    </row>
    <row r="33" customFormat="false" ht="15" hidden="false" customHeight="false" outlineLevel="0" collapsed="false">
      <c r="A33" s="4" t="s">
        <v>113</v>
      </c>
      <c r="B33" s="4" t="s">
        <v>11</v>
      </c>
      <c r="C33" s="4" t="s">
        <v>114</v>
      </c>
      <c r="D33" s="4" t="s">
        <v>111</v>
      </c>
      <c r="E33" s="25" t="n">
        <v>3</v>
      </c>
      <c r="F33" s="26" t="n">
        <v>90000</v>
      </c>
      <c r="G33" s="27" t="n">
        <v>1</v>
      </c>
      <c r="H33" s="25" t="n">
        <v>1</v>
      </c>
      <c r="I33" s="10" t="n">
        <f aca="false">E33*F33*G33*H33</f>
        <v>270000</v>
      </c>
      <c r="J33" s="27" t="n">
        <v>1</v>
      </c>
      <c r="K33" s="10" t="n">
        <f aca="false">I33*J33</f>
        <v>270000</v>
      </c>
      <c r="L33" s="10" t="n">
        <f aca="false">I33-K33</f>
        <v>0</v>
      </c>
      <c r="M33" s="28" t="s">
        <v>115</v>
      </c>
    </row>
    <row r="34" customFormat="false" ht="15" hidden="false" customHeight="false" outlineLevel="0" collapsed="false">
      <c r="A34" s="4" t="s">
        <v>116</v>
      </c>
      <c r="B34" s="4" t="s">
        <v>11</v>
      </c>
      <c r="C34" s="4" t="s">
        <v>117</v>
      </c>
      <c r="D34" s="4" t="s">
        <v>118</v>
      </c>
      <c r="E34" s="25" t="n">
        <v>12</v>
      </c>
      <c r="F34" s="26" t="n">
        <v>8000</v>
      </c>
      <c r="G34" s="27" t="n">
        <v>1</v>
      </c>
      <c r="H34" s="25" t="n">
        <v>1</v>
      </c>
      <c r="I34" s="10" t="n">
        <f aca="false">E34*F34*G34*H34</f>
        <v>96000</v>
      </c>
      <c r="J34" s="27" t="n">
        <v>1</v>
      </c>
      <c r="K34" s="10" t="n">
        <f aca="false">I34*J34</f>
        <v>96000</v>
      </c>
      <c r="L34" s="10" t="n">
        <f aca="false">I34-K34</f>
        <v>0</v>
      </c>
      <c r="M34" s="28" t="s">
        <v>119</v>
      </c>
    </row>
    <row r="35" customFormat="false" ht="15" hidden="false" customHeight="false" outlineLevel="0" collapsed="false">
      <c r="A35" s="29"/>
      <c r="B35" s="29"/>
      <c r="C35" s="8" t="s">
        <v>120</v>
      </c>
      <c r="D35" s="29"/>
      <c r="E35" s="29"/>
      <c r="F35" s="29"/>
      <c r="G35" s="29"/>
      <c r="H35" s="29"/>
      <c r="I35" s="9" t="n">
        <f aca="false">SUM(I32:I34)</f>
        <v>1116000</v>
      </c>
      <c r="J35" s="29"/>
      <c r="K35" s="9" t="n">
        <f aca="false">SUM(K32:K34)</f>
        <v>1116000</v>
      </c>
      <c r="L35" s="9" t="n">
        <f aca="false">SUM(L32:L34)</f>
        <v>0</v>
      </c>
      <c r="M35" s="29"/>
    </row>
    <row r="37" customFormat="false" ht="15" hidden="false" customHeight="false" outlineLevel="0" collapsed="false">
      <c r="A37" s="11" t="s">
        <v>12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</row>
    <row r="38" customFormat="false" ht="15" hidden="false" customHeight="false" outlineLevel="0" collapsed="false">
      <c r="A38" s="4" t="s">
        <v>121</v>
      </c>
      <c r="B38" s="4" t="s">
        <v>12</v>
      </c>
      <c r="C38" s="4" t="s">
        <v>122</v>
      </c>
      <c r="D38" s="4" t="s">
        <v>123</v>
      </c>
      <c r="E38" s="25" t="n">
        <v>30</v>
      </c>
      <c r="F38" s="26" t="n">
        <v>1500</v>
      </c>
      <c r="G38" s="27" t="n">
        <v>1</v>
      </c>
      <c r="H38" s="25" t="n">
        <v>1</v>
      </c>
      <c r="I38" s="10" t="n">
        <f aca="false">E38*F38*G38*H38</f>
        <v>45000</v>
      </c>
      <c r="J38" s="27" t="n">
        <v>1</v>
      </c>
      <c r="K38" s="10" t="n">
        <f aca="false">I38*J38</f>
        <v>45000</v>
      </c>
      <c r="L38" s="10" t="n">
        <f aca="false">I38-K38</f>
        <v>0</v>
      </c>
      <c r="M38" s="28" t="s">
        <v>124</v>
      </c>
    </row>
    <row r="39" customFormat="false" ht="15" hidden="false" customHeight="false" outlineLevel="0" collapsed="false">
      <c r="A39" s="4" t="s">
        <v>125</v>
      </c>
      <c r="B39" s="4" t="s">
        <v>12</v>
      </c>
      <c r="C39" s="4" t="s">
        <v>126</v>
      </c>
      <c r="D39" s="4" t="s">
        <v>123</v>
      </c>
      <c r="E39" s="25" t="n">
        <v>60</v>
      </c>
      <c r="F39" s="26" t="n">
        <v>1000</v>
      </c>
      <c r="G39" s="27" t="n">
        <v>1</v>
      </c>
      <c r="H39" s="25" t="n">
        <v>1</v>
      </c>
      <c r="I39" s="10" t="n">
        <f aca="false">E39*F39*G39*H39</f>
        <v>60000</v>
      </c>
      <c r="J39" s="27" t="n">
        <v>1</v>
      </c>
      <c r="K39" s="10" t="n">
        <f aca="false">I39*J39</f>
        <v>60000</v>
      </c>
      <c r="L39" s="10" t="n">
        <f aca="false">I39-K39</f>
        <v>0</v>
      </c>
      <c r="M39" s="28" t="s">
        <v>127</v>
      </c>
    </row>
    <row r="40" customFormat="false" ht="15" hidden="false" customHeight="false" outlineLevel="0" collapsed="false">
      <c r="A40" s="4" t="s">
        <v>128</v>
      </c>
      <c r="B40" s="4" t="s">
        <v>12</v>
      </c>
      <c r="C40" s="4" t="s">
        <v>129</v>
      </c>
      <c r="D40" s="4" t="s">
        <v>130</v>
      </c>
      <c r="E40" s="25" t="n">
        <v>30</v>
      </c>
      <c r="F40" s="26" t="n">
        <v>6000</v>
      </c>
      <c r="G40" s="27" t="n">
        <v>1</v>
      </c>
      <c r="H40" s="25" t="n">
        <v>1</v>
      </c>
      <c r="I40" s="10" t="n">
        <f aca="false">E40*F40*G40*H40</f>
        <v>180000</v>
      </c>
      <c r="J40" s="27" t="n">
        <v>1</v>
      </c>
      <c r="K40" s="10" t="n">
        <f aca="false">I40*J40</f>
        <v>180000</v>
      </c>
      <c r="L40" s="10" t="n">
        <f aca="false">I40-K40</f>
        <v>0</v>
      </c>
      <c r="M40" s="28" t="s">
        <v>131</v>
      </c>
    </row>
    <row r="41" customFormat="false" ht="15" hidden="false" customHeight="false" outlineLevel="0" collapsed="false">
      <c r="A41" s="29"/>
      <c r="B41" s="29"/>
      <c r="C41" s="8" t="s">
        <v>132</v>
      </c>
      <c r="D41" s="29"/>
      <c r="E41" s="29"/>
      <c r="F41" s="29"/>
      <c r="G41" s="29"/>
      <c r="H41" s="29"/>
      <c r="I41" s="9" t="n">
        <f aca="false">SUM(I38:I40)</f>
        <v>285000</v>
      </c>
      <c r="J41" s="29"/>
      <c r="K41" s="9" t="n">
        <f aca="false">SUM(K38:K40)</f>
        <v>285000</v>
      </c>
      <c r="L41" s="9" t="n">
        <f aca="false">SUM(L38:L40)</f>
        <v>0</v>
      </c>
      <c r="M41" s="29"/>
    </row>
    <row r="43" customFormat="false" ht="15" hidden="false" customHeight="false" outlineLevel="0" collapsed="false">
      <c r="A43" s="11" t="s">
        <v>13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</row>
    <row r="44" customFormat="false" ht="15" hidden="false" customHeight="false" outlineLevel="0" collapsed="false">
      <c r="A44" s="4" t="s">
        <v>133</v>
      </c>
      <c r="B44" s="4" t="s">
        <v>13</v>
      </c>
      <c r="C44" s="4" t="s">
        <v>134</v>
      </c>
      <c r="D44" s="4" t="s">
        <v>135</v>
      </c>
      <c r="E44" s="25" t="n">
        <v>1</v>
      </c>
      <c r="F44" s="26" t="n">
        <v>50000</v>
      </c>
      <c r="G44" s="27" t="n">
        <v>1</v>
      </c>
      <c r="H44" s="25" t="n">
        <v>1</v>
      </c>
      <c r="I44" s="10" t="n">
        <f aca="false">E44*F44*G44*H44</f>
        <v>50000</v>
      </c>
      <c r="J44" s="27" t="n">
        <v>1</v>
      </c>
      <c r="K44" s="10" t="n">
        <f aca="false">I44*J44</f>
        <v>50000</v>
      </c>
      <c r="L44" s="10" t="n">
        <f aca="false">I44-K44</f>
        <v>0</v>
      </c>
      <c r="M44" s="28" t="s">
        <v>136</v>
      </c>
    </row>
    <row r="45" customFormat="false" ht="15" hidden="false" customHeight="false" outlineLevel="0" collapsed="false">
      <c r="A45" s="4" t="s">
        <v>137</v>
      </c>
      <c r="B45" s="4" t="s">
        <v>13</v>
      </c>
      <c r="C45" s="4" t="s">
        <v>138</v>
      </c>
      <c r="D45" s="4" t="s">
        <v>139</v>
      </c>
      <c r="E45" s="25" t="n">
        <v>1</v>
      </c>
      <c r="F45" s="26" t="n">
        <v>25000</v>
      </c>
      <c r="G45" s="27" t="n">
        <v>1</v>
      </c>
      <c r="H45" s="25" t="n">
        <v>1</v>
      </c>
      <c r="I45" s="10" t="n">
        <f aca="false">E45*F45*G45*H45</f>
        <v>25000</v>
      </c>
      <c r="J45" s="27" t="n">
        <v>0</v>
      </c>
      <c r="K45" s="10" t="n">
        <f aca="false">I45*J45</f>
        <v>0</v>
      </c>
      <c r="L45" s="10" t="n">
        <f aca="false">I45-K45</f>
        <v>25000</v>
      </c>
      <c r="M45" s="28" t="s">
        <v>140</v>
      </c>
    </row>
    <row r="46" customFormat="false" ht="15" hidden="false" customHeight="false" outlineLevel="0" collapsed="false">
      <c r="A46" s="4" t="s">
        <v>141</v>
      </c>
      <c r="B46" s="4" t="s">
        <v>13</v>
      </c>
      <c r="C46" s="4" t="s">
        <v>142</v>
      </c>
      <c r="D46" s="4" t="s">
        <v>143</v>
      </c>
      <c r="E46" s="25" t="n">
        <v>1</v>
      </c>
      <c r="F46" s="26" t="n">
        <v>150000</v>
      </c>
      <c r="G46" s="27" t="n">
        <v>1</v>
      </c>
      <c r="H46" s="25" t="n">
        <v>1</v>
      </c>
      <c r="I46" s="10" t="n">
        <f aca="false">E46*F46*G46*H46</f>
        <v>150000</v>
      </c>
      <c r="J46" s="27" t="n">
        <v>1</v>
      </c>
      <c r="K46" s="10" t="n">
        <f aca="false">I46*J46</f>
        <v>150000</v>
      </c>
      <c r="L46" s="10" t="n">
        <f aca="false">I46-K46</f>
        <v>0</v>
      </c>
      <c r="M46" s="28" t="s">
        <v>144</v>
      </c>
    </row>
    <row r="47" customFormat="false" ht="15" hidden="false" customHeight="false" outlineLevel="0" collapsed="false">
      <c r="A47" s="29"/>
      <c r="B47" s="29"/>
      <c r="C47" s="8" t="s">
        <v>145</v>
      </c>
      <c r="D47" s="29"/>
      <c r="E47" s="29"/>
      <c r="F47" s="29"/>
      <c r="G47" s="29"/>
      <c r="H47" s="29"/>
      <c r="I47" s="9" t="n">
        <f aca="false">SUM(I44:I46)</f>
        <v>225000</v>
      </c>
      <c r="J47" s="29"/>
      <c r="K47" s="9" t="n">
        <f aca="false">SUM(K44:K46)</f>
        <v>200000</v>
      </c>
      <c r="L47" s="9" t="n">
        <f aca="false">SUM(L44:L46)</f>
        <v>25000</v>
      </c>
      <c r="M47" s="29"/>
    </row>
    <row r="49" customFormat="false" ht="15" hidden="false" customHeight="false" outlineLevel="0" collapsed="false">
      <c r="A49" s="11" t="s">
        <v>14</v>
      </c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</row>
    <row r="50" customFormat="false" ht="15" hidden="false" customHeight="false" outlineLevel="0" collapsed="false">
      <c r="A50" s="4" t="s">
        <v>146</v>
      </c>
      <c r="B50" s="4" t="s">
        <v>14</v>
      </c>
      <c r="C50" s="4" t="s">
        <v>147</v>
      </c>
      <c r="D50" s="4" t="s">
        <v>148</v>
      </c>
      <c r="E50" s="25" t="n">
        <v>2</v>
      </c>
      <c r="F50" s="26" t="n">
        <v>350000</v>
      </c>
      <c r="G50" s="27" t="n">
        <v>1</v>
      </c>
      <c r="H50" s="25" t="n">
        <v>1</v>
      </c>
      <c r="I50" s="10" t="n">
        <f aca="false">E50*F50*G50*H50</f>
        <v>700000</v>
      </c>
      <c r="J50" s="27" t="n">
        <v>0.5</v>
      </c>
      <c r="K50" s="10" t="n">
        <f aca="false">I50*J50</f>
        <v>350000</v>
      </c>
      <c r="L50" s="10" t="n">
        <f aca="false">I50-K50</f>
        <v>350000</v>
      </c>
      <c r="M50" s="28" t="s">
        <v>149</v>
      </c>
    </row>
    <row r="51" customFormat="false" ht="15" hidden="false" customHeight="false" outlineLevel="0" collapsed="false">
      <c r="A51" s="4" t="s">
        <v>150</v>
      </c>
      <c r="B51" s="4" t="s">
        <v>14</v>
      </c>
      <c r="C51" s="4" t="s">
        <v>151</v>
      </c>
      <c r="D51" s="4" t="s">
        <v>118</v>
      </c>
      <c r="E51" s="25" t="n">
        <v>2</v>
      </c>
      <c r="F51" s="26" t="n">
        <v>300000</v>
      </c>
      <c r="G51" s="27" t="n">
        <v>1</v>
      </c>
      <c r="H51" s="25" t="n">
        <v>1</v>
      </c>
      <c r="I51" s="10" t="n">
        <f aca="false">E51*F51*G51*H51</f>
        <v>600000</v>
      </c>
      <c r="J51" s="27" t="n">
        <v>0</v>
      </c>
      <c r="K51" s="10" t="n">
        <f aca="false">I51*J51</f>
        <v>0</v>
      </c>
      <c r="L51" s="10" t="n">
        <f aca="false">I51-K51</f>
        <v>600000</v>
      </c>
      <c r="M51" s="28" t="s">
        <v>152</v>
      </c>
    </row>
    <row r="52" customFormat="false" ht="15" hidden="false" customHeight="false" outlineLevel="0" collapsed="false">
      <c r="A52" s="4" t="s">
        <v>153</v>
      </c>
      <c r="B52" s="4" t="s">
        <v>14</v>
      </c>
      <c r="C52" s="4" t="s">
        <v>154</v>
      </c>
      <c r="D52" s="4" t="s">
        <v>111</v>
      </c>
      <c r="E52" s="25" t="n">
        <v>3</v>
      </c>
      <c r="F52" s="26" t="n">
        <v>120000</v>
      </c>
      <c r="G52" s="27" t="n">
        <v>1</v>
      </c>
      <c r="H52" s="25" t="n">
        <v>1</v>
      </c>
      <c r="I52" s="10" t="n">
        <f aca="false">E52*F52*G52*H52</f>
        <v>360000</v>
      </c>
      <c r="J52" s="27" t="n">
        <v>0</v>
      </c>
      <c r="K52" s="10" t="n">
        <f aca="false">I52*J52</f>
        <v>0</v>
      </c>
      <c r="L52" s="10" t="n">
        <f aca="false">I52-K52</f>
        <v>360000</v>
      </c>
      <c r="M52" s="28" t="s">
        <v>155</v>
      </c>
    </row>
    <row r="53" customFormat="false" ht="15" hidden="false" customHeight="false" outlineLevel="0" collapsed="false">
      <c r="A53" s="4" t="s">
        <v>156</v>
      </c>
      <c r="B53" s="4" t="s">
        <v>14</v>
      </c>
      <c r="C53" s="4" t="s">
        <v>157</v>
      </c>
      <c r="D53" s="4" t="s">
        <v>143</v>
      </c>
      <c r="E53" s="25" t="n">
        <v>1</v>
      </c>
      <c r="F53" s="26" t="n">
        <v>80000</v>
      </c>
      <c r="G53" s="27" t="n">
        <v>1</v>
      </c>
      <c r="H53" s="25" t="n">
        <v>1</v>
      </c>
      <c r="I53" s="10" t="n">
        <f aca="false">E53*F53*G53*H53</f>
        <v>80000</v>
      </c>
      <c r="J53" s="27" t="n">
        <v>0</v>
      </c>
      <c r="K53" s="10" t="n">
        <f aca="false">I53*J53</f>
        <v>0</v>
      </c>
      <c r="L53" s="10" t="n">
        <f aca="false">I53-K53</f>
        <v>80000</v>
      </c>
      <c r="M53" s="28" t="s">
        <v>158</v>
      </c>
    </row>
    <row r="54" customFormat="false" ht="15" hidden="false" customHeight="false" outlineLevel="0" collapsed="false">
      <c r="A54" s="29"/>
      <c r="B54" s="29"/>
      <c r="C54" s="8" t="s">
        <v>159</v>
      </c>
      <c r="D54" s="29"/>
      <c r="E54" s="29"/>
      <c r="F54" s="29"/>
      <c r="G54" s="29"/>
      <c r="H54" s="29"/>
      <c r="I54" s="9" t="n">
        <f aca="false">SUM(I50:I53)</f>
        <v>1740000</v>
      </c>
      <c r="J54" s="29"/>
      <c r="K54" s="9" t="n">
        <f aca="false">SUM(K50:K53)</f>
        <v>350000</v>
      </c>
      <c r="L54" s="9" t="n">
        <f aca="false">SUM(L50:L53)</f>
        <v>1390000</v>
      </c>
      <c r="M54" s="29"/>
    </row>
    <row r="56" customFormat="false" ht="15" hidden="false" customHeight="false" outlineLevel="0" collapsed="false">
      <c r="A56" s="11" t="s">
        <v>15</v>
      </c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</row>
    <row r="57" customFormat="false" ht="15" hidden="false" customHeight="false" outlineLevel="0" collapsed="false">
      <c r="A57" s="4" t="s">
        <v>160</v>
      </c>
      <c r="B57" s="4" t="s">
        <v>15</v>
      </c>
      <c r="C57" s="4" t="s">
        <v>161</v>
      </c>
      <c r="D57" s="4" t="s">
        <v>90</v>
      </c>
      <c r="E57" s="25" t="n">
        <v>1</v>
      </c>
      <c r="F57" s="26" t="n">
        <v>15000</v>
      </c>
      <c r="G57" s="27" t="n">
        <v>1</v>
      </c>
      <c r="H57" s="25" t="n">
        <v>18</v>
      </c>
      <c r="I57" s="10" t="n">
        <f aca="false">E57*F57*G57*H57</f>
        <v>270000</v>
      </c>
      <c r="J57" s="27" t="n">
        <v>0.67</v>
      </c>
      <c r="K57" s="10" t="n">
        <f aca="false">I57*J57</f>
        <v>180900</v>
      </c>
      <c r="L57" s="10" t="n">
        <f aca="false">I57-K57</f>
        <v>89100</v>
      </c>
      <c r="M57" s="28" t="s">
        <v>162</v>
      </c>
    </row>
    <row r="58" customFormat="false" ht="15" hidden="false" customHeight="false" outlineLevel="0" collapsed="false">
      <c r="A58" s="4" t="s">
        <v>163</v>
      </c>
      <c r="B58" s="4" t="s">
        <v>15</v>
      </c>
      <c r="C58" s="4" t="s">
        <v>164</v>
      </c>
      <c r="D58" s="4" t="s">
        <v>143</v>
      </c>
      <c r="E58" s="25" t="n">
        <v>1</v>
      </c>
      <c r="F58" s="26" t="n">
        <v>60000</v>
      </c>
      <c r="G58" s="27" t="n">
        <v>1</v>
      </c>
      <c r="H58" s="25" t="n">
        <v>1</v>
      </c>
      <c r="I58" s="10" t="n">
        <f aca="false">E58*F58*G58*H58</f>
        <v>60000</v>
      </c>
      <c r="J58" s="27" t="n">
        <v>1</v>
      </c>
      <c r="K58" s="10" t="n">
        <f aca="false">I58*J58</f>
        <v>60000</v>
      </c>
      <c r="L58" s="10" t="n">
        <f aca="false">I58-K58</f>
        <v>0</v>
      </c>
      <c r="M58" s="28"/>
    </row>
    <row r="59" customFormat="false" ht="15" hidden="false" customHeight="false" outlineLevel="0" collapsed="false">
      <c r="A59" s="4" t="s">
        <v>165</v>
      </c>
      <c r="B59" s="4" t="s">
        <v>15</v>
      </c>
      <c r="C59" s="4" t="s">
        <v>166</v>
      </c>
      <c r="D59" s="4" t="s">
        <v>94</v>
      </c>
      <c r="E59" s="25" t="n">
        <v>1</v>
      </c>
      <c r="F59" s="26" t="n">
        <v>75000</v>
      </c>
      <c r="G59" s="27" t="n">
        <v>1</v>
      </c>
      <c r="H59" s="25" t="n">
        <v>2</v>
      </c>
      <c r="I59" s="10" t="n">
        <f aca="false">E59*F59*G59*H59</f>
        <v>150000</v>
      </c>
      <c r="J59" s="27" t="n">
        <v>0.5</v>
      </c>
      <c r="K59" s="10" t="n">
        <f aca="false">I59*J59</f>
        <v>75000</v>
      </c>
      <c r="L59" s="10" t="n">
        <f aca="false">I59-K59</f>
        <v>75000</v>
      </c>
      <c r="M59" s="28" t="s">
        <v>167</v>
      </c>
    </row>
    <row r="60" customFormat="false" ht="15" hidden="false" customHeight="false" outlineLevel="0" collapsed="false">
      <c r="A60" s="29"/>
      <c r="B60" s="29"/>
      <c r="C60" s="8" t="s">
        <v>168</v>
      </c>
      <c r="D60" s="29"/>
      <c r="E60" s="29"/>
      <c r="F60" s="29"/>
      <c r="G60" s="29"/>
      <c r="H60" s="29"/>
      <c r="I60" s="9" t="n">
        <f aca="false">SUM(I57:I59)</f>
        <v>480000</v>
      </c>
      <c r="J60" s="29"/>
      <c r="K60" s="9" t="n">
        <f aca="false">SUM(K57:K59)</f>
        <v>315900</v>
      </c>
      <c r="L60" s="9" t="n">
        <f aca="false">SUM(L57:L59)</f>
        <v>164100</v>
      </c>
      <c r="M60" s="29"/>
    </row>
    <row r="62" customFormat="false" ht="15" hidden="false" customHeight="false" outlineLevel="0" collapsed="false">
      <c r="C62" s="30" t="s">
        <v>169</v>
      </c>
      <c r="I62" s="31" t="n">
        <f aca="false">I15+I23+I29+I35+I41+I47+I54+I60</f>
        <v>23886000</v>
      </c>
      <c r="K62" s="31" t="n">
        <f aca="false">K15+K23+K29+K35+K41+K47+K54+K60</f>
        <v>17516110</v>
      </c>
      <c r="L62" s="31" t="n">
        <f aca="false">L15+L23+L29+L35+L41+L47+L54+L60</f>
        <v>6369890</v>
      </c>
    </row>
    <row r="63" customFormat="false" ht="15" hidden="false" customHeight="false" outlineLevel="0" collapsed="false">
      <c r="A63" s="2" t="s"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2026-10-20T19:50:52Z</dcterms:created>
  <dc:creator>openpyxl</dc:creator>
  <dc:description/>
  <dc:language>en-US</dc:language>
  <cp:lastModifiedBy/>
  <dcterms:modified xsi:type="dcterms:W3CDTF">2026-10-20T19:50:52Z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